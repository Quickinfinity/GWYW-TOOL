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drawings/drawing2.xml" ContentType="application/vnd.openxmlformats-officedocument.drawing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joequick/Desktop/2026/VS STUDIO /SCP CALCULATOR /"/>
    </mc:Choice>
  </mc:AlternateContent>
  <xr:revisionPtr revIDLastSave="0" documentId="8_{1F22676D-7B66-924D-ABCB-CD10C2457A44}" xr6:coauthVersionLast="47" xr6:coauthVersionMax="47" xr10:uidLastSave="{00000000-0000-0000-0000-000000000000}"/>
  <workbookProtection workbookAlgorithmName="SHA-512" workbookHashValue="A7r89GEDM+eYUXpR5clM/Gw2bOyIw7WzJZB9iu29sTmgWnUVoL8J57kF/R9FyvFrtsapGzV72U4++jeWQCXgMA==" workbookSaltValue="z0aPq7T2AjQqDPFVeCkHMw==" workbookSpinCount="100000" lockStructure="1"/>
  <bookViews>
    <workbookView xWindow="10260" yWindow="760" windowWidth="24300" windowHeight="20520" activeTab="1" xr2:uid="{98CD6606-C157-8A4A-9780-8AB80A583FF6}"/>
  </bookViews>
  <sheets>
    <sheet name="SCP Basic" sheetId="1" r:id="rId1"/>
    <sheet name="SCP+Lab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2" l="1"/>
  <c r="I32" i="2"/>
  <c r="I31" i="2"/>
  <c r="I30" i="2"/>
  <c r="I29" i="2"/>
  <c r="I28" i="2"/>
  <c r="S25" i="2"/>
  <c r="S24" i="2" s="1"/>
  <c r="R25" i="2"/>
  <c r="R24" i="2" s="1"/>
  <c r="E25" i="2"/>
  <c r="I25" i="2" s="1"/>
  <c r="J25" i="2" s="1"/>
  <c r="S23" i="2"/>
  <c r="S22" i="2" s="1"/>
  <c r="R23" i="2"/>
  <c r="R22" i="2" s="1"/>
  <c r="E23" i="2"/>
  <c r="M23" i="2" s="1"/>
  <c r="S21" i="2"/>
  <c r="R21" i="2"/>
  <c r="E21" i="2"/>
  <c r="P21" i="2" s="1"/>
  <c r="S20" i="2"/>
  <c r="R20" i="2"/>
  <c r="E20" i="2"/>
  <c r="N20" i="2" s="1"/>
  <c r="S19" i="2"/>
  <c r="R19" i="2"/>
  <c r="E19" i="2"/>
  <c r="M19" i="2" s="1"/>
  <c r="S18" i="2"/>
  <c r="R18" i="2"/>
  <c r="E18" i="2"/>
  <c r="O18" i="2" s="1"/>
  <c r="S17" i="2"/>
  <c r="R17" i="2"/>
  <c r="E17" i="2"/>
  <c r="I17" i="2" s="1"/>
  <c r="J17" i="2" s="1"/>
  <c r="S15" i="2"/>
  <c r="R15" i="2"/>
  <c r="E15" i="2"/>
  <c r="M15" i="2" s="1"/>
  <c r="S14" i="2"/>
  <c r="R14" i="2"/>
  <c r="E14" i="2"/>
  <c r="L14" i="2" s="1"/>
  <c r="S13" i="2"/>
  <c r="R13" i="2"/>
  <c r="E13" i="2"/>
  <c r="M13" i="2" s="1"/>
  <c r="S12" i="2"/>
  <c r="R12" i="2"/>
  <c r="E12" i="2"/>
  <c r="I12" i="2" s="1"/>
  <c r="J12" i="2" s="1"/>
  <c r="E10" i="2"/>
  <c r="O10" i="2" s="1"/>
  <c r="E9" i="2"/>
  <c r="M9" i="2" s="1"/>
  <c r="E8" i="2"/>
  <c r="P8" i="2" s="1"/>
  <c r="E7" i="2"/>
  <c r="M7" i="2" s="1"/>
  <c r="E3" i="2"/>
  <c r="R2" i="2"/>
  <c r="E19" i="1"/>
  <c r="N19" i="1" s="1"/>
  <c r="E7" i="1"/>
  <c r="L7" i="1" s="1"/>
  <c r="E9" i="1"/>
  <c r="O9" i="1" s="1"/>
  <c r="E8" i="1"/>
  <c r="L8" i="1" s="1"/>
  <c r="I21" i="2" l="1"/>
  <c r="J21" i="2" s="1"/>
  <c r="P9" i="2"/>
  <c r="N9" i="2"/>
  <c r="N7" i="2"/>
  <c r="O9" i="2"/>
  <c r="O7" i="2"/>
  <c r="P7" i="2"/>
  <c r="O19" i="2"/>
  <c r="N23" i="2"/>
  <c r="P23" i="2"/>
  <c r="O23" i="2"/>
  <c r="P19" i="2"/>
  <c r="N19" i="2"/>
  <c r="L21" i="2"/>
  <c r="R16" i="2"/>
  <c r="M21" i="2"/>
  <c r="O21" i="2"/>
  <c r="N21" i="2"/>
  <c r="S16" i="2"/>
  <c r="L12" i="2"/>
  <c r="N12" i="2"/>
  <c r="O12" i="2"/>
  <c r="M12" i="2"/>
  <c r="P12" i="2"/>
  <c r="O15" i="2"/>
  <c r="P15" i="2"/>
  <c r="N15" i="2"/>
  <c r="S11" i="2"/>
  <c r="R11" i="2"/>
  <c r="N9" i="1"/>
  <c r="M9" i="1"/>
  <c r="L9" i="1"/>
  <c r="P8" i="1"/>
  <c r="O8" i="1"/>
  <c r="N8" i="1"/>
  <c r="M8" i="1"/>
  <c r="P7" i="1"/>
  <c r="O7" i="1"/>
  <c r="M19" i="1"/>
  <c r="L19" i="1"/>
  <c r="N7" i="1"/>
  <c r="M7" i="1"/>
  <c r="O19" i="1"/>
  <c r="P19" i="1"/>
  <c r="P9" i="1"/>
  <c r="L25" i="2"/>
  <c r="I14" i="2"/>
  <c r="J14" i="2" s="1"/>
  <c r="M14" i="2"/>
  <c r="M18" i="2"/>
  <c r="L8" i="2"/>
  <c r="N14" i="2"/>
  <c r="N18" i="2"/>
  <c r="M10" i="2"/>
  <c r="I13" i="2"/>
  <c r="J13" i="2" s="1"/>
  <c r="M20" i="2"/>
  <c r="P10" i="2"/>
  <c r="N25" i="2"/>
  <c r="L18" i="2"/>
  <c r="I20" i="2"/>
  <c r="J20" i="2" s="1"/>
  <c r="O14" i="2"/>
  <c r="P14" i="2"/>
  <c r="N17" i="2"/>
  <c r="I23" i="2"/>
  <c r="J23" i="2" s="1"/>
  <c r="O13" i="2"/>
  <c r="O17" i="2"/>
  <c r="O25" i="2"/>
  <c r="I10" i="2"/>
  <c r="J10" i="2" s="1"/>
  <c r="L10" i="2"/>
  <c r="M8" i="2"/>
  <c r="N10" i="2"/>
  <c r="P18" i="2"/>
  <c r="L17" i="2"/>
  <c r="M17" i="2"/>
  <c r="O20" i="2"/>
  <c r="M25" i="2"/>
  <c r="I7" i="2"/>
  <c r="I9" i="2"/>
  <c r="J9" i="2" s="1"/>
  <c r="N13" i="2"/>
  <c r="P20" i="2"/>
  <c r="L7" i="2"/>
  <c r="L9" i="2"/>
  <c r="P13" i="2"/>
  <c r="L15" i="2"/>
  <c r="P17" i="2"/>
  <c r="L19" i="2"/>
  <c r="L23" i="2"/>
  <c r="P25" i="2"/>
  <c r="I18" i="2"/>
  <c r="J18" i="2" s="1"/>
  <c r="I8" i="2"/>
  <c r="J8" i="2" s="1"/>
  <c r="N8" i="2"/>
  <c r="L20" i="2"/>
  <c r="O8" i="2"/>
  <c r="L13" i="2"/>
  <c r="I15" i="2"/>
  <c r="J15" i="2" s="1"/>
  <c r="I19" i="2"/>
  <c r="J19" i="2" s="1"/>
  <c r="S27" i="2" l="1"/>
  <c r="S29" i="2" s="1"/>
  <c r="R27" i="2"/>
  <c r="R29" i="2" s="1"/>
  <c r="I33" i="2"/>
  <c r="J7" i="2"/>
  <c r="E5" i="2" s="1"/>
  <c r="S2" i="2" s="1"/>
  <c r="J34" i="2" l="1"/>
  <c r="S30" i="2"/>
  <c r="S31" i="2" s="1"/>
  <c r="R30" i="2"/>
  <c r="R31" i="2" s="1"/>
  <c r="E3" i="1"/>
  <c r="I32" i="1"/>
  <c r="I31" i="1"/>
  <c r="I30" i="1"/>
  <c r="I29" i="1"/>
  <c r="I28" i="1"/>
  <c r="E25" i="1"/>
  <c r="E23" i="1"/>
  <c r="E21" i="1"/>
  <c r="E20" i="1"/>
  <c r="E18" i="1"/>
  <c r="E17" i="1"/>
  <c r="E15" i="1"/>
  <c r="E14" i="1"/>
  <c r="L14" i="1" s="1"/>
  <c r="E13" i="1"/>
  <c r="E12" i="1"/>
  <c r="E10" i="1"/>
  <c r="I9" i="1"/>
  <c r="J9" i="1" s="1"/>
  <c r="M17" i="1" l="1"/>
  <c r="L17" i="1"/>
  <c r="N17" i="1"/>
  <c r="P17" i="1"/>
  <c r="O17" i="1"/>
  <c r="P20" i="1"/>
  <c r="M20" i="1"/>
  <c r="L20" i="1"/>
  <c r="N20" i="1"/>
  <c r="O20" i="1"/>
  <c r="L21" i="1"/>
  <c r="P21" i="1"/>
  <c r="O21" i="1"/>
  <c r="M21" i="1"/>
  <c r="N21" i="1"/>
  <c r="I15" i="1"/>
  <c r="J15" i="1" s="1"/>
  <c r="N15" i="1"/>
  <c r="O15" i="1"/>
  <c r="P15" i="1"/>
  <c r="L15" i="1"/>
  <c r="M15" i="1"/>
  <c r="N18" i="1"/>
  <c r="O18" i="1"/>
  <c r="P18" i="1"/>
  <c r="M18" i="1"/>
  <c r="L18" i="1"/>
  <c r="P23" i="1"/>
  <c r="O23" i="1"/>
  <c r="L23" i="1"/>
  <c r="M23" i="1"/>
  <c r="N23" i="1"/>
  <c r="O25" i="1"/>
  <c r="N25" i="1"/>
  <c r="M25" i="1"/>
  <c r="L25" i="1"/>
  <c r="P25" i="1"/>
  <c r="P10" i="1"/>
  <c r="L10" i="1"/>
  <c r="M10" i="1"/>
  <c r="N10" i="1"/>
  <c r="O10" i="1"/>
  <c r="N12" i="1"/>
  <c r="O12" i="1"/>
  <c r="P12" i="1"/>
  <c r="L12" i="1"/>
  <c r="M12" i="1"/>
  <c r="L13" i="1"/>
  <c r="M13" i="1"/>
  <c r="N13" i="1"/>
  <c r="O13" i="1"/>
  <c r="P13" i="1"/>
  <c r="P14" i="1"/>
  <c r="M14" i="1"/>
  <c r="N14" i="1"/>
  <c r="O14" i="1"/>
  <c r="I23" i="1"/>
  <c r="J23" i="1" s="1"/>
  <c r="I21" i="1"/>
  <c r="J21" i="1" s="1"/>
  <c r="I17" i="1"/>
  <c r="J17" i="1" s="1"/>
  <c r="I14" i="1"/>
  <c r="J14" i="1" s="1"/>
  <c r="I18" i="1"/>
  <c r="J18" i="1" s="1"/>
  <c r="I12" i="1"/>
  <c r="J12" i="1" s="1"/>
  <c r="I20" i="1"/>
  <c r="J20" i="1" s="1"/>
  <c r="I13" i="1"/>
  <c r="J13" i="1" s="1"/>
  <c r="I7" i="1"/>
  <c r="I8" i="1"/>
  <c r="J8" i="1" s="1"/>
  <c r="I10" i="1"/>
  <c r="J10" i="1" s="1"/>
  <c r="I25" i="1"/>
  <c r="J25" i="1" s="1"/>
  <c r="I19" i="1"/>
  <c r="J19" i="1" s="1"/>
  <c r="I33" i="1" l="1"/>
  <c r="J7" i="1"/>
  <c r="E5" i="1" s="1"/>
  <c r="J34" i="1" l="1"/>
</calcChain>
</file>

<file path=xl/sharedStrings.xml><?xml version="1.0" encoding="utf-8"?>
<sst xmlns="http://schemas.openxmlformats.org/spreadsheetml/2006/main" count="105" uniqueCount="53">
  <si>
    <t>Square Feet of Project:</t>
  </si>
  <si>
    <t>Project Bid</t>
  </si>
  <si>
    <t>Charge Per SQ FT</t>
  </si>
  <si>
    <t>Material Cost Per SQ FT:</t>
  </si>
  <si>
    <t xml:space="preserve">Cost of  Materials Used </t>
  </si>
  <si>
    <t>Quantity to Order</t>
  </si>
  <si>
    <t>$ Rate Per Hour</t>
  </si>
  <si>
    <t>MACHINE RUNTIME LABOR</t>
  </si>
  <si>
    <t>CHEMICALS &amp; LIQUIDS</t>
  </si>
  <si>
    <t>QUANTITY NEEDED</t>
  </si>
  <si>
    <t>ADD ON</t>
  </si>
  <si>
    <t>UNIT COST</t>
  </si>
  <si>
    <t xml:space="preserve">Cost of  Material </t>
  </si>
  <si>
    <t>Price per sq/ft:</t>
  </si>
  <si>
    <t>9 Tool System</t>
  </si>
  <si>
    <t>12 Tool System</t>
  </si>
  <si>
    <t>18 Tool System</t>
  </si>
  <si>
    <t>24 Tool System</t>
  </si>
  <si>
    <t>30 Tool System</t>
  </si>
  <si>
    <t xml:space="preserve">Machine Run Time with WE-2692 in Hours </t>
  </si>
  <si>
    <t xml:space="preserve"> Machine Run Time with               8' Power Trowel in Hours </t>
  </si>
  <si>
    <t>ORANGE TOOLS</t>
  </si>
  <si>
    <t>GREEN TOOLS</t>
  </si>
  <si>
    <t>YELLOW TOOLS</t>
  </si>
  <si>
    <t>RED TOOLS</t>
  </si>
  <si>
    <t>Total Hours</t>
  </si>
  <si>
    <t>Other Items:</t>
  </si>
  <si>
    <t>QTY</t>
  </si>
  <si>
    <t>Unit Cost</t>
  </si>
  <si>
    <t>Machine run Labor</t>
  </si>
  <si>
    <t>Gross Profit</t>
  </si>
  <si>
    <t>Order Total:</t>
  </si>
  <si>
    <t>Purchase Price per sq/ft:</t>
  </si>
  <si>
    <t xml:space="preserve">*Total Purchase Price per sq/ft is quantity used for Chemicals &amp; Tools. Use "Add On"  to complete total purchase cost on full tool sets and chemicals. </t>
  </si>
  <si>
    <t>Charge Per Sq/M</t>
  </si>
  <si>
    <t>Square Meters of Project</t>
  </si>
  <si>
    <t>Material Cost Per SQ/M:</t>
  </si>
  <si>
    <t>SCP CUTTER (15 RTU gallons)     400'-600'</t>
  </si>
  <si>
    <t>SCP HARDENER  (5 gallons)        400'-600'</t>
  </si>
  <si>
    <t>HYDRO-POLISH (5 RTU gallons)  700'-900'</t>
  </si>
  <si>
    <t>SCP SEALER (5 gallons)             1800'-2400'</t>
  </si>
  <si>
    <t>16 # SCP ORANGE LOGO'S: 15k'-30k'</t>
  </si>
  <si>
    <t>30 # SCP ORANGE LOGO'S: 15k'-30k'</t>
  </si>
  <si>
    <t>60 # SCP ORANGE LOGO'S: 15k'-30k'</t>
  </si>
  <si>
    <t>120 # SCP GREEN LOGO'S:  15k'-30k'</t>
  </si>
  <si>
    <t>299 # SCP GREEN LOGO'S:  15k'-30k'</t>
  </si>
  <si>
    <t>399 # SCP GREEN LOGO'S:  15k'-30k'</t>
  </si>
  <si>
    <t>SEMI-METAL 50# ORANGE:     5k'-7k'</t>
  </si>
  <si>
    <t xml:space="preserve"> SEMI-METAL 100# GREEN:    5k'-7k'</t>
  </si>
  <si>
    <t xml:space="preserve"> SEMI-METAL 200# GREEN:    5k'-7k'</t>
  </si>
  <si>
    <t>SEMI-METAL 400# YELLOW    4k'-7k'</t>
  </si>
  <si>
    <t>800# TRANSFORMERS RED    5k'-7k'</t>
  </si>
  <si>
    <t>SCIENTIFIC CONCRETE POLISHING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</si>
</sst>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.000_);_(&quot;$&quot;* \(#,##0.000\);_(&quot;$&quot;* &quot;-&quot;??_);_(@_)"/>
  </numFmts>
  <fonts count="3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sz val="12"/>
      <color rgb="FF000000"/>
      <name val="Calibri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6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Arial"/>
      <family val="2"/>
    </font>
    <font>
      <b/>
      <sz val="12"/>
      <color rgb="FF000000"/>
      <name val="Calibri"/>
      <family val="2"/>
    </font>
    <font>
      <b/>
      <sz val="16"/>
      <color rgb="FFFF0000"/>
      <name val="Calibri"/>
      <family val="2"/>
    </font>
    <font>
      <sz val="11"/>
      <color rgb="FF000000"/>
      <name val="Arial"/>
      <family val="2"/>
    </font>
    <font>
      <b/>
      <sz val="11"/>
      <color theme="1"/>
      <name val="Arial Black"/>
      <family val="2"/>
    </font>
    <font>
      <sz val="11"/>
      <color theme="2"/>
      <name val="Arial"/>
      <family val="2"/>
    </font>
    <font>
      <sz val="48"/>
      <color theme="1"/>
      <name val="Arial"/>
      <family val="2"/>
    </font>
    <font>
      <b/>
      <sz val="12"/>
      <color theme="1"/>
      <name val="Calibri"/>
      <family val="2"/>
    </font>
    <font>
      <sz val="11"/>
      <color theme="0" tint="-4.9989318521683403E-2"/>
      <name val="Arial"/>
      <family val="2"/>
    </font>
    <font>
      <sz val="12"/>
      <color theme="1"/>
      <name val="Calibri"/>
      <family val="2"/>
    </font>
    <font>
      <sz val="12"/>
      <color rgb="FF000000"/>
      <name val="Arial Black"/>
      <family val="2"/>
    </font>
    <font>
      <b/>
      <sz val="12"/>
      <color rgb="FF000000"/>
      <name val="Arial Black"/>
      <family val="2"/>
    </font>
    <font>
      <b/>
      <u/>
      <sz val="11"/>
      <color theme="1"/>
      <name val="Arial"/>
      <family val="2"/>
    </font>
    <font>
      <sz val="10"/>
      <color rgb="FF000000"/>
      <name val="Arial"/>
      <family val="2"/>
    </font>
    <font>
      <b/>
      <sz val="18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B0F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44" fontId="3" fillId="0" borderId="0" xfId="0" applyNumberFormat="1" applyFont="1"/>
    <xf numFmtId="44" fontId="3" fillId="0" borderId="0" xfId="2" applyFont="1" applyFill="1" applyBorder="1" applyAlignment="1">
      <alignment horizontal="center" vertical="center" wrapText="1"/>
    </xf>
    <xf numFmtId="44" fontId="3" fillId="0" borderId="0" xfId="2" applyFont="1" applyFill="1" applyBorder="1"/>
    <xf numFmtId="0" fontId="6" fillId="5" borderId="6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/>
    </xf>
    <xf numFmtId="0" fontId="0" fillId="8" borderId="0" xfId="0" applyFill="1"/>
    <xf numFmtId="0" fontId="0" fillId="8" borderId="9" xfId="0" applyFill="1" applyBorder="1"/>
    <xf numFmtId="0" fontId="0" fillId="8" borderId="20" xfId="0" applyFill="1" applyBorder="1" applyAlignment="1">
      <alignment horizontal="center"/>
    </xf>
    <xf numFmtId="0" fontId="0" fillId="8" borderId="21" xfId="0" applyFill="1" applyBorder="1"/>
    <xf numFmtId="2" fontId="2" fillId="2" borderId="0" xfId="0" applyNumberFormat="1" applyFont="1" applyFill="1" applyAlignment="1" applyProtection="1">
      <alignment horizontal="center"/>
      <protection hidden="1"/>
    </xf>
    <xf numFmtId="0" fontId="0" fillId="8" borderId="24" xfId="0" applyFill="1" applyBorder="1" applyAlignment="1">
      <alignment horizontal="center"/>
    </xf>
    <xf numFmtId="0" fontId="7" fillId="0" borderId="0" xfId="0" applyFont="1" applyAlignment="1">
      <alignment wrapText="1"/>
    </xf>
    <xf numFmtId="0" fontId="16" fillId="11" borderId="2" xfId="0" applyFont="1" applyFill="1" applyBorder="1" applyAlignment="1">
      <alignment horizontal="center" vertical="center"/>
    </xf>
    <xf numFmtId="0" fontId="17" fillId="2" borderId="0" xfId="0" applyFont="1" applyFill="1" applyProtection="1">
      <protection locked="0" hidden="1"/>
    </xf>
    <xf numFmtId="0" fontId="0" fillId="8" borderId="25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6" borderId="2" xfId="0" applyFill="1" applyBorder="1" applyProtection="1">
      <protection locked="0" hidden="1"/>
    </xf>
    <xf numFmtId="0" fontId="16" fillId="6" borderId="2" xfId="0" applyFont="1" applyFill="1" applyBorder="1" applyAlignment="1">
      <alignment horizontal="center" vertical="center"/>
    </xf>
    <xf numFmtId="0" fontId="18" fillId="2" borderId="0" xfId="0" applyFont="1" applyFill="1" applyAlignment="1" applyProtection="1">
      <alignment vertical="center"/>
      <protection locked="0" hidden="1"/>
    </xf>
    <xf numFmtId="0" fontId="0" fillId="0" borderId="0" xfId="0" applyAlignment="1">
      <alignment vertical="center"/>
    </xf>
    <xf numFmtId="0" fontId="0" fillId="8" borderId="0" xfId="0" applyFill="1" applyAlignment="1">
      <alignment horizontal="center" vertical="center"/>
    </xf>
    <xf numFmtId="0" fontId="18" fillId="2" borderId="0" xfId="0" applyFont="1" applyFill="1" applyAlignment="1" applyProtection="1">
      <alignment horizontal="left" vertical="top"/>
      <protection locked="0" hidden="1"/>
    </xf>
    <xf numFmtId="0" fontId="0" fillId="0" borderId="0" xfId="0" applyAlignment="1">
      <alignment vertical="top"/>
    </xf>
    <xf numFmtId="0" fontId="0" fillId="8" borderId="0" xfId="0" applyFill="1" applyAlignment="1">
      <alignment horizontal="center" vertical="top"/>
    </xf>
    <xf numFmtId="0" fontId="7" fillId="0" borderId="0" xfId="0" applyFont="1" applyAlignment="1">
      <alignment vertical="top"/>
    </xf>
    <xf numFmtId="0" fontId="16" fillId="3" borderId="2" xfId="0" applyFont="1" applyFill="1" applyBorder="1" applyAlignment="1">
      <alignment horizontal="center" vertical="center"/>
    </xf>
    <xf numFmtId="0" fontId="0" fillId="8" borderId="21" xfId="0" applyFill="1" applyBorder="1" applyAlignment="1">
      <alignment horizontal="center"/>
    </xf>
    <xf numFmtId="0" fontId="0" fillId="9" borderId="2" xfId="0" applyFill="1" applyBorder="1" applyProtection="1">
      <protection locked="0" hidden="1"/>
    </xf>
    <xf numFmtId="0" fontId="22" fillId="9" borderId="2" xfId="0" applyFont="1" applyFill="1" applyBorder="1" applyAlignment="1">
      <alignment horizontal="center" vertical="center"/>
    </xf>
    <xf numFmtId="0" fontId="18" fillId="2" borderId="29" xfId="0" applyFont="1" applyFill="1" applyBorder="1" applyAlignment="1" applyProtection="1">
      <alignment horizontal="left" vertical="top"/>
      <protection locked="0" hidden="1"/>
    </xf>
    <xf numFmtId="0" fontId="0" fillId="8" borderId="32" xfId="0" applyFill="1" applyBorder="1" applyAlignment="1">
      <alignment horizontal="center"/>
    </xf>
    <xf numFmtId="0" fontId="13" fillId="4" borderId="33" xfId="0" applyFont="1" applyFill="1" applyBorder="1" applyAlignment="1">
      <alignment vertical="center"/>
    </xf>
    <xf numFmtId="8" fontId="13" fillId="4" borderId="34" xfId="0" applyNumberFormat="1" applyFont="1" applyFill="1" applyBorder="1" applyAlignment="1">
      <alignment vertical="center"/>
    </xf>
    <xf numFmtId="8" fontId="13" fillId="4" borderId="35" xfId="0" applyNumberFormat="1" applyFont="1" applyFill="1" applyBorder="1" applyAlignment="1">
      <alignment vertical="center"/>
    </xf>
    <xf numFmtId="0" fontId="13" fillId="4" borderId="36" xfId="0" applyFont="1" applyFill="1" applyBorder="1" applyAlignment="1">
      <alignment horizontal="center" vertical="center"/>
    </xf>
    <xf numFmtId="44" fontId="0" fillId="4" borderId="18" xfId="0" applyNumberFormat="1" applyFill="1" applyBorder="1" applyAlignment="1">
      <alignment vertical="center"/>
    </xf>
    <xf numFmtId="44" fontId="0" fillId="4" borderId="19" xfId="0" applyNumberFormat="1" applyFill="1" applyBorder="1" applyAlignment="1">
      <alignment vertical="center"/>
    </xf>
    <xf numFmtId="0" fontId="13" fillId="4" borderId="37" xfId="0" applyFont="1" applyFill="1" applyBorder="1" applyAlignment="1">
      <alignment vertical="center"/>
    </xf>
    <xf numFmtId="44" fontId="13" fillId="4" borderId="38" xfId="0" applyNumberFormat="1" applyFont="1" applyFill="1" applyBorder="1" applyAlignment="1">
      <alignment vertical="center"/>
    </xf>
    <xf numFmtId="44" fontId="13" fillId="4" borderId="39" xfId="0" applyNumberFormat="1" applyFont="1" applyFill="1" applyBorder="1" applyAlignment="1">
      <alignment vertical="center"/>
    </xf>
    <xf numFmtId="0" fontId="13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left"/>
    </xf>
    <xf numFmtId="0" fontId="22" fillId="0" borderId="0" xfId="0" applyFont="1" applyAlignment="1">
      <alignment horizontal="left" vertical="center"/>
    </xf>
    <xf numFmtId="0" fontId="0" fillId="0" borderId="0" xfId="0" applyProtection="1">
      <protection hidden="1"/>
    </xf>
    <xf numFmtId="0" fontId="3" fillId="2" borderId="4" xfId="0" applyFont="1" applyFill="1" applyBorder="1" applyProtection="1">
      <protection hidden="1"/>
    </xf>
    <xf numFmtId="0" fontId="6" fillId="2" borderId="4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5" xfId="0" applyFill="1" applyBorder="1" applyProtection="1">
      <protection hidden="1"/>
    </xf>
    <xf numFmtId="44" fontId="8" fillId="4" borderId="6" xfId="2" applyFont="1" applyFill="1" applyBorder="1" applyAlignment="1" applyProtection="1">
      <alignment horizontal="right"/>
      <protection hidden="1"/>
    </xf>
    <xf numFmtId="0" fontId="0" fillId="2" borderId="7" xfId="0" applyFill="1" applyBorder="1" applyProtection="1">
      <protection hidden="1"/>
    </xf>
    <xf numFmtId="0" fontId="9" fillId="2" borderId="0" xfId="0" applyFont="1" applyFill="1" applyAlignment="1" applyProtection="1">
      <alignment horizontal="center" vertical="center" wrapText="1"/>
      <protection hidden="1"/>
    </xf>
    <xf numFmtId="0" fontId="10" fillId="3" borderId="5" xfId="0" applyFont="1" applyFill="1" applyBorder="1" applyAlignment="1" applyProtection="1">
      <alignment horizontal="right"/>
      <protection hidden="1"/>
    </xf>
    <xf numFmtId="44" fontId="8" fillId="4" borderId="9" xfId="2" applyFont="1" applyFill="1" applyBorder="1" applyAlignment="1" applyProtection="1">
      <alignment horizontal="right"/>
      <protection hidden="1"/>
    </xf>
    <xf numFmtId="0" fontId="8" fillId="2" borderId="11" xfId="0" applyFont="1" applyFill="1" applyBorder="1" applyAlignment="1" applyProtection="1">
      <alignment horizontal="center" vertical="center" wrapText="1"/>
      <protection hidden="1"/>
    </xf>
    <xf numFmtId="0" fontId="9" fillId="2" borderId="11" xfId="0" applyFont="1" applyFill="1" applyBorder="1" applyAlignment="1" applyProtection="1">
      <alignment horizontal="center" vertical="center" wrapText="1"/>
      <protection hidden="1"/>
    </xf>
    <xf numFmtId="0" fontId="8" fillId="2" borderId="13" xfId="0" applyFont="1" applyFill="1" applyBorder="1" applyAlignment="1" applyProtection="1">
      <alignment horizontal="center" vertical="center" wrapText="1"/>
      <protection hidden="1"/>
    </xf>
    <xf numFmtId="2" fontId="0" fillId="2" borderId="0" xfId="0" applyNumberFormat="1" applyFill="1" applyAlignment="1" applyProtection="1">
      <alignment horizontal="center"/>
      <protection hidden="1"/>
    </xf>
    <xf numFmtId="44" fontId="0" fillId="2" borderId="0" xfId="2" applyFont="1" applyFill="1" applyBorder="1" applyProtection="1">
      <protection hidden="1"/>
    </xf>
    <xf numFmtId="44" fontId="15" fillId="2" borderId="15" xfId="2" applyFont="1" applyFill="1" applyBorder="1" applyProtection="1">
      <protection hidden="1"/>
    </xf>
    <xf numFmtId="0" fontId="0" fillId="3" borderId="17" xfId="0" applyFill="1" applyBorder="1" applyProtection="1">
      <protection hidden="1"/>
    </xf>
    <xf numFmtId="0" fontId="0" fillId="3" borderId="0" xfId="0" applyFill="1" applyProtection="1">
      <protection hidden="1"/>
    </xf>
    <xf numFmtId="0" fontId="0" fillId="3" borderId="7" xfId="0" applyFill="1" applyBorder="1" applyProtection="1">
      <protection hidden="1"/>
    </xf>
    <xf numFmtId="44" fontId="15" fillId="2" borderId="19" xfId="2" applyFont="1" applyFill="1" applyBorder="1" applyProtection="1">
      <protection hidden="1"/>
    </xf>
    <xf numFmtId="44" fontId="15" fillId="2" borderId="23" xfId="2" applyFont="1" applyFill="1" applyBorder="1" applyProtection="1">
      <protection hidden="1"/>
    </xf>
    <xf numFmtId="0" fontId="16" fillId="11" borderId="1" xfId="0" applyFont="1" applyFill="1" applyBorder="1" applyAlignment="1" applyProtection="1">
      <alignment horizontal="left" vertical="center"/>
      <protection hidden="1"/>
    </xf>
    <xf numFmtId="0" fontId="0" fillId="12" borderId="2" xfId="0" applyFill="1" applyBorder="1" applyProtection="1">
      <protection hidden="1"/>
    </xf>
    <xf numFmtId="164" fontId="0" fillId="12" borderId="2" xfId="0" applyNumberFormat="1" applyFill="1" applyBorder="1" applyAlignment="1" applyProtection="1">
      <alignment horizontal="center"/>
      <protection hidden="1"/>
    </xf>
    <xf numFmtId="44" fontId="0" fillId="12" borderId="2" xfId="2" applyFont="1" applyFill="1" applyBorder="1" applyProtection="1">
      <protection hidden="1"/>
    </xf>
    <xf numFmtId="165" fontId="0" fillId="12" borderId="2" xfId="2" applyNumberFormat="1" applyFont="1" applyFill="1" applyBorder="1" applyProtection="1">
      <protection hidden="1"/>
    </xf>
    <xf numFmtId="164" fontId="0" fillId="2" borderId="0" xfId="0" applyNumberFormat="1" applyFill="1" applyAlignment="1" applyProtection="1">
      <alignment horizontal="center"/>
      <protection hidden="1"/>
    </xf>
    <xf numFmtId="44" fontId="0" fillId="2" borderId="15" xfId="2" applyFont="1" applyFill="1" applyBorder="1" applyProtection="1">
      <protection hidden="1"/>
    </xf>
    <xf numFmtId="44" fontId="0" fillId="2" borderId="19" xfId="2" applyFont="1" applyFill="1" applyBorder="1" applyProtection="1">
      <protection hidden="1"/>
    </xf>
    <xf numFmtId="44" fontId="0" fillId="2" borderId="23" xfId="2" applyFont="1" applyFill="1" applyBorder="1" applyProtection="1">
      <protection hidden="1"/>
    </xf>
    <xf numFmtId="0" fontId="16" fillId="6" borderId="1" xfId="0" applyFont="1" applyFill="1" applyBorder="1" applyAlignment="1" applyProtection="1">
      <alignment horizontal="left" vertical="center"/>
      <protection hidden="1"/>
    </xf>
    <xf numFmtId="0" fontId="0" fillId="6" borderId="2" xfId="0" applyFill="1" applyBorder="1" applyProtection="1">
      <protection hidden="1"/>
    </xf>
    <xf numFmtId="164" fontId="0" fillId="6" borderId="2" xfId="0" applyNumberFormat="1" applyFill="1" applyBorder="1" applyProtection="1">
      <protection hidden="1"/>
    </xf>
    <xf numFmtId="44" fontId="0" fillId="6" borderId="2" xfId="2" applyFont="1" applyFill="1" applyBorder="1" applyProtection="1">
      <protection hidden="1"/>
    </xf>
    <xf numFmtId="165" fontId="0" fillId="6" borderId="2" xfId="2" applyNumberFormat="1" applyFont="1" applyFill="1" applyBorder="1" applyProtection="1">
      <protection hidden="1"/>
    </xf>
    <xf numFmtId="44" fontId="0" fillId="2" borderId="0" xfId="2" applyFont="1" applyFill="1" applyBorder="1" applyAlignment="1" applyProtection="1">
      <alignment vertical="center"/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0" fillId="2" borderId="0" xfId="0" applyFill="1" applyAlignment="1" applyProtection="1">
      <alignment vertical="top"/>
      <protection hidden="1"/>
    </xf>
    <xf numFmtId="0" fontId="0" fillId="0" borderId="0" xfId="0" applyAlignment="1" applyProtection="1">
      <alignment vertical="top"/>
      <protection hidden="1"/>
    </xf>
    <xf numFmtId="0" fontId="16" fillId="3" borderId="1" xfId="0" applyFont="1" applyFill="1" applyBorder="1" applyAlignment="1" applyProtection="1">
      <alignment horizontal="left" vertical="center"/>
      <protection hidden="1"/>
    </xf>
    <xf numFmtId="0" fontId="0" fillId="3" borderId="2" xfId="0" applyFill="1" applyBorder="1" applyAlignment="1" applyProtection="1">
      <alignment vertical="top"/>
      <protection hidden="1"/>
    </xf>
    <xf numFmtId="44" fontId="0" fillId="3" borderId="2" xfId="2" applyFont="1" applyFill="1" applyBorder="1" applyAlignment="1" applyProtection="1">
      <alignment vertical="top"/>
      <protection hidden="1"/>
    </xf>
    <xf numFmtId="165" fontId="0" fillId="3" borderId="2" xfId="2" applyNumberFormat="1" applyFont="1" applyFill="1" applyBorder="1" applyAlignment="1" applyProtection="1">
      <alignment vertical="top"/>
      <protection hidden="1"/>
    </xf>
    <xf numFmtId="164" fontId="21" fillId="2" borderId="0" xfId="0" applyNumberFormat="1" applyFont="1" applyFill="1" applyAlignment="1" applyProtection="1">
      <alignment horizontal="center"/>
      <protection hidden="1"/>
    </xf>
    <xf numFmtId="44" fontId="0" fillId="2" borderId="27" xfId="2" applyFont="1" applyFill="1" applyBorder="1" applyProtection="1">
      <protection hidden="1"/>
    </xf>
    <xf numFmtId="0" fontId="22" fillId="9" borderId="1" xfId="0" applyFont="1" applyFill="1" applyBorder="1" applyAlignment="1" applyProtection="1">
      <alignment horizontal="left" vertical="center"/>
      <protection hidden="1"/>
    </xf>
    <xf numFmtId="0" fontId="0" fillId="9" borderId="2" xfId="0" applyFill="1" applyBorder="1" applyProtection="1">
      <protection hidden="1"/>
    </xf>
    <xf numFmtId="164" fontId="0" fillId="9" borderId="2" xfId="0" applyNumberFormat="1" applyFill="1" applyBorder="1" applyProtection="1">
      <protection hidden="1"/>
    </xf>
    <xf numFmtId="44" fontId="0" fillId="9" borderId="2" xfId="2" applyFont="1" applyFill="1" applyBorder="1" applyProtection="1">
      <protection hidden="1"/>
    </xf>
    <xf numFmtId="165" fontId="0" fillId="9" borderId="2" xfId="2" applyNumberFormat="1" applyFont="1" applyFill="1" applyBorder="1" applyProtection="1">
      <protection hidden="1"/>
    </xf>
    <xf numFmtId="2" fontId="0" fillId="2" borderId="29" xfId="0" applyNumberFormat="1" applyFill="1" applyBorder="1" applyAlignment="1" applyProtection="1">
      <alignment horizontal="center"/>
      <protection hidden="1"/>
    </xf>
    <xf numFmtId="44" fontId="0" fillId="2" borderId="29" xfId="2" applyFont="1" applyFill="1" applyBorder="1" applyProtection="1">
      <protection hidden="1"/>
    </xf>
    <xf numFmtId="0" fontId="0" fillId="2" borderId="29" xfId="0" applyFill="1" applyBorder="1" applyAlignment="1" applyProtection="1">
      <alignment vertical="top"/>
      <protection hidden="1"/>
    </xf>
    <xf numFmtId="44" fontId="0" fillId="2" borderId="31" xfId="2" applyFont="1" applyFill="1" applyBorder="1" applyProtection="1">
      <protection hidden="1"/>
    </xf>
    <xf numFmtId="0" fontId="24" fillId="2" borderId="17" xfId="0" applyFont="1" applyFill="1" applyBorder="1" applyAlignment="1" applyProtection="1">
      <alignment vertical="center"/>
      <protection hidden="1"/>
    </xf>
    <xf numFmtId="0" fontId="0" fillId="2" borderId="7" xfId="0" applyFill="1" applyBorder="1" applyAlignment="1" applyProtection="1">
      <alignment vertical="center"/>
      <protection hidden="1"/>
    </xf>
    <xf numFmtId="0" fontId="0" fillId="2" borderId="17" xfId="0" applyFill="1" applyBorder="1" applyProtection="1">
      <protection hidden="1"/>
    </xf>
    <xf numFmtId="43" fontId="3" fillId="2" borderId="6" xfId="0" applyNumberFormat="1" applyFont="1" applyFill="1" applyBorder="1" applyProtection="1">
      <protection hidden="1"/>
    </xf>
    <xf numFmtId="44" fontId="0" fillId="0" borderId="0" xfId="0" applyNumberFormat="1" applyProtection="1">
      <protection hidden="1"/>
    </xf>
    <xf numFmtId="44" fontId="13" fillId="4" borderId="41" xfId="2" applyFont="1" applyFill="1" applyBorder="1" applyAlignment="1" applyProtection="1">
      <protection hidden="1"/>
    </xf>
    <xf numFmtId="0" fontId="27" fillId="13" borderId="33" xfId="0" applyFont="1" applyFill="1" applyBorder="1" applyAlignment="1" applyProtection="1">
      <alignment wrapText="1"/>
      <protection hidden="1"/>
    </xf>
    <xf numFmtId="0" fontId="27" fillId="13" borderId="34" xfId="0" applyFont="1" applyFill="1" applyBorder="1" applyAlignment="1" applyProtection="1">
      <alignment wrapText="1"/>
      <protection hidden="1"/>
    </xf>
    <xf numFmtId="0" fontId="9" fillId="13" borderId="35" xfId="0" applyFont="1" applyFill="1" applyBorder="1" applyAlignment="1" applyProtection="1">
      <alignment horizontal="center" vertical="center" wrapText="1"/>
      <protection hidden="1"/>
    </xf>
    <xf numFmtId="2" fontId="28" fillId="13" borderId="37" xfId="0" applyNumberFormat="1" applyFont="1" applyFill="1" applyBorder="1" applyProtection="1">
      <protection hidden="1"/>
    </xf>
    <xf numFmtId="44" fontId="28" fillId="13" borderId="38" xfId="0" applyNumberFormat="1" applyFont="1" applyFill="1" applyBorder="1" applyProtection="1">
      <protection hidden="1"/>
    </xf>
    <xf numFmtId="44" fontId="28" fillId="13" borderId="39" xfId="0" applyNumberFormat="1" applyFont="1" applyFill="1" applyBorder="1" applyProtection="1">
      <protection hidden="1"/>
    </xf>
    <xf numFmtId="164" fontId="13" fillId="12" borderId="2" xfId="0" applyNumberFormat="1" applyFont="1" applyFill="1" applyBorder="1" applyAlignment="1">
      <alignment horizontal="center" vertical="center"/>
    </xf>
    <xf numFmtId="164" fontId="13" fillId="12" borderId="3" xfId="0" applyNumberFormat="1" applyFont="1" applyFill="1" applyBorder="1" applyAlignment="1">
      <alignment horizontal="center"/>
    </xf>
    <xf numFmtId="164" fontId="0" fillId="8" borderId="21" xfId="0" applyNumberFormat="1" applyFill="1" applyBorder="1"/>
    <xf numFmtId="164" fontId="13" fillId="6" borderId="2" xfId="0" applyNumberFormat="1" applyFont="1" applyFill="1" applyBorder="1" applyAlignment="1">
      <alignment horizontal="center" vertical="center"/>
    </xf>
    <xf numFmtId="164" fontId="13" fillId="6" borderId="3" xfId="0" applyNumberFormat="1" applyFont="1" applyFill="1" applyBorder="1" applyAlignment="1">
      <alignment horizontal="center" vertical="center"/>
    </xf>
    <xf numFmtId="164" fontId="19" fillId="3" borderId="2" xfId="0" applyNumberFormat="1" applyFont="1" applyFill="1" applyBorder="1" applyAlignment="1">
      <alignment horizontal="center"/>
    </xf>
    <xf numFmtId="164" fontId="19" fillId="3" borderId="3" xfId="0" applyNumberFormat="1" applyFont="1" applyFill="1" applyBorder="1" applyAlignment="1">
      <alignment horizontal="center"/>
    </xf>
    <xf numFmtId="164" fontId="13" fillId="9" borderId="2" xfId="0" applyNumberFormat="1" applyFont="1" applyFill="1" applyBorder="1" applyAlignment="1">
      <alignment horizontal="center" vertical="center"/>
    </xf>
    <xf numFmtId="164" fontId="13" fillId="9" borderId="3" xfId="0" applyNumberFormat="1" applyFont="1" applyFill="1" applyBorder="1" applyAlignment="1">
      <alignment horizontal="center" vertical="center"/>
    </xf>
    <xf numFmtId="0" fontId="0" fillId="8" borderId="29" xfId="0" applyFill="1" applyBorder="1" applyAlignment="1">
      <alignment horizontal="center" vertical="top"/>
    </xf>
    <xf numFmtId="164" fontId="0" fillId="8" borderId="32" xfId="0" applyNumberFormat="1" applyFill="1" applyBorder="1"/>
    <xf numFmtId="164" fontId="0" fillId="0" borderId="0" xfId="0" applyNumberFormat="1" applyAlignment="1">
      <alignment vertical="top"/>
    </xf>
    <xf numFmtId="0" fontId="23" fillId="10" borderId="1" xfId="0" applyFont="1" applyFill="1" applyBorder="1" applyAlignment="1">
      <alignment horizontal="center"/>
    </xf>
    <xf numFmtId="164" fontId="13" fillId="10" borderId="6" xfId="0" applyNumberFormat="1" applyFont="1" applyFill="1" applyBorder="1" applyAlignment="1">
      <alignment horizontal="center"/>
    </xf>
    <xf numFmtId="0" fontId="0" fillId="0" borderId="17" xfId="0" applyBorder="1" applyAlignment="1">
      <alignment vertical="top"/>
    </xf>
    <xf numFmtId="0" fontId="0" fillId="0" borderId="7" xfId="0" applyBorder="1" applyAlignment="1">
      <alignment vertical="top"/>
    </xf>
    <xf numFmtId="0" fontId="8" fillId="2" borderId="43" xfId="0" applyFont="1" applyFill="1" applyBorder="1" applyAlignment="1" applyProtection="1">
      <alignment horizontal="center" vertical="center" wrapText="1"/>
      <protection hidden="1"/>
    </xf>
    <xf numFmtId="44" fontId="0" fillId="2" borderId="17" xfId="2" applyFont="1" applyFill="1" applyBorder="1" applyProtection="1">
      <protection hidden="1"/>
    </xf>
    <xf numFmtId="44" fontId="0" fillId="2" borderId="28" xfId="2" applyFont="1" applyFill="1" applyBorder="1" applyProtection="1">
      <protection hidden="1"/>
    </xf>
    <xf numFmtId="2" fontId="0" fillId="12" borderId="2" xfId="0" applyNumberFormat="1" applyFill="1" applyBorder="1" applyAlignment="1" applyProtection="1">
      <alignment horizontal="center"/>
      <protection hidden="1"/>
    </xf>
    <xf numFmtId="2" fontId="0" fillId="6" borderId="2" xfId="0" applyNumberFormat="1" applyFill="1" applyBorder="1" applyAlignment="1" applyProtection="1">
      <alignment horizontal="center"/>
      <protection hidden="1"/>
    </xf>
    <xf numFmtId="2" fontId="0" fillId="3" borderId="2" xfId="0" applyNumberFormat="1" applyFill="1" applyBorder="1" applyAlignment="1" applyProtection="1">
      <alignment vertical="top"/>
      <protection hidden="1"/>
    </xf>
    <xf numFmtId="2" fontId="0" fillId="9" borderId="2" xfId="0" applyNumberFormat="1" applyFill="1" applyBorder="1" applyAlignment="1" applyProtection="1">
      <alignment horizontal="center"/>
      <protection hidden="1"/>
    </xf>
    <xf numFmtId="0" fontId="0" fillId="2" borderId="8" xfId="0" applyFill="1" applyBorder="1" applyAlignment="1" applyProtection="1">
      <alignment vertical="top"/>
      <protection hidden="1"/>
    </xf>
    <xf numFmtId="0" fontId="0" fillId="2" borderId="4" xfId="0" applyFill="1" applyBorder="1" applyAlignment="1" applyProtection="1">
      <alignment vertical="top"/>
      <protection hidden="1"/>
    </xf>
    <xf numFmtId="0" fontId="18" fillId="2" borderId="4" xfId="0" applyFont="1" applyFill="1" applyBorder="1" applyAlignment="1" applyProtection="1">
      <alignment horizontal="left" vertical="top"/>
      <protection hidden="1"/>
    </xf>
    <xf numFmtId="164" fontId="0" fillId="2" borderId="4" xfId="0" applyNumberFormat="1" applyFill="1" applyBorder="1" applyAlignment="1" applyProtection="1">
      <alignment horizontal="right" vertical="top"/>
      <protection hidden="1"/>
    </xf>
    <xf numFmtId="0" fontId="0" fillId="2" borderId="5" xfId="0" applyFill="1" applyBorder="1" applyAlignment="1" applyProtection="1">
      <alignment vertical="top"/>
      <protection hidden="1"/>
    </xf>
    <xf numFmtId="0" fontId="18" fillId="2" borderId="0" xfId="0" applyFont="1" applyFill="1" applyAlignment="1" applyProtection="1">
      <alignment horizontal="left" vertical="center"/>
      <protection hidden="1"/>
    </xf>
    <xf numFmtId="164" fontId="13" fillId="2" borderId="0" xfId="0" applyNumberFormat="1" applyFont="1" applyFill="1" applyAlignment="1" applyProtection="1">
      <alignment horizontal="center" vertical="center"/>
      <protection hidden="1"/>
    </xf>
    <xf numFmtId="0" fontId="13" fillId="2" borderId="0" xfId="0" applyFont="1" applyFill="1" applyAlignment="1" applyProtection="1">
      <alignment horizontal="center" vertical="center"/>
      <protection hidden="1"/>
    </xf>
    <xf numFmtId="0" fontId="0" fillId="8" borderId="0" xfId="0" applyFill="1" applyAlignment="1" applyProtection="1">
      <alignment vertical="center"/>
      <protection hidden="1"/>
    </xf>
    <xf numFmtId="44" fontId="0" fillId="2" borderId="8" xfId="2" applyFont="1" applyFill="1" applyBorder="1" applyAlignment="1" applyProtection="1">
      <alignment vertical="top"/>
      <protection hidden="1"/>
    </xf>
    <xf numFmtId="44" fontId="0" fillId="2" borderId="17" xfId="2" applyFont="1" applyFill="1" applyBorder="1" applyAlignment="1" applyProtection="1">
      <alignment vertical="center"/>
      <protection hidden="1"/>
    </xf>
    <xf numFmtId="44" fontId="11" fillId="4" borderId="44" xfId="2" applyFont="1" applyFill="1" applyBorder="1" applyAlignment="1" applyProtection="1">
      <protection hidden="1"/>
    </xf>
    <xf numFmtId="44" fontId="8" fillId="3" borderId="8" xfId="2" applyFont="1" applyFill="1" applyBorder="1" applyProtection="1">
      <protection locked="0" hidden="1"/>
    </xf>
    <xf numFmtId="8" fontId="14" fillId="3" borderId="6" xfId="0" applyNumberFormat="1" applyFont="1" applyFill="1" applyBorder="1" applyAlignment="1" applyProtection="1">
      <alignment horizontal="center" vertical="center"/>
      <protection locked="0" hidden="1"/>
    </xf>
    <xf numFmtId="164" fontId="0" fillId="8" borderId="0" xfId="0" applyNumberFormat="1" applyFill="1" applyAlignment="1" applyProtection="1">
      <alignment horizontal="center" vertical="center"/>
      <protection locked="0" hidden="1"/>
    </xf>
    <xf numFmtId="0" fontId="0" fillId="2" borderId="0" xfId="0" applyFill="1" applyAlignment="1" applyProtection="1">
      <alignment vertical="center"/>
      <protection locked="0" hidden="1"/>
    </xf>
    <xf numFmtId="43" fontId="0" fillId="8" borderId="0" xfId="1" applyFont="1" applyFill="1" applyBorder="1" applyAlignment="1" applyProtection="1">
      <alignment vertical="center"/>
      <protection locked="0" hidden="1"/>
    </xf>
    <xf numFmtId="2" fontId="0" fillId="7" borderId="14" xfId="0" applyNumberFormat="1" applyFill="1" applyBorder="1" applyAlignment="1" applyProtection="1">
      <alignment horizontal="center"/>
      <protection locked="0" hidden="1"/>
    </xf>
    <xf numFmtId="2" fontId="0" fillId="7" borderId="18" xfId="0" quotePrefix="1" applyNumberFormat="1" applyFill="1" applyBorder="1" applyAlignment="1" applyProtection="1">
      <alignment horizontal="center"/>
      <protection locked="0" hidden="1"/>
    </xf>
    <xf numFmtId="2" fontId="0" fillId="7" borderId="18" xfId="0" applyNumberFormat="1" applyFill="1" applyBorder="1" applyAlignment="1" applyProtection="1">
      <alignment horizontal="center"/>
      <protection locked="0" hidden="1"/>
    </xf>
    <xf numFmtId="2" fontId="0" fillId="7" borderId="22" xfId="0" applyNumberFormat="1" applyFill="1" applyBorder="1" applyAlignment="1" applyProtection="1">
      <alignment horizontal="center"/>
      <protection locked="0" hidden="1"/>
    </xf>
    <xf numFmtId="2" fontId="0" fillId="7" borderId="14" xfId="0" applyNumberFormat="1" applyFill="1" applyBorder="1" applyAlignment="1" applyProtection="1">
      <alignment horizontal="center" vertical="center"/>
      <protection locked="0" hidden="1"/>
    </xf>
    <xf numFmtId="2" fontId="0" fillId="7" borderId="18" xfId="0" applyNumberFormat="1" applyFill="1" applyBorder="1" applyAlignment="1" applyProtection="1">
      <alignment horizontal="center" vertical="center"/>
      <protection locked="0" hidden="1"/>
    </xf>
    <xf numFmtId="2" fontId="0" fillId="7" borderId="26" xfId="0" applyNumberFormat="1" applyFill="1" applyBorder="1" applyAlignment="1" applyProtection="1">
      <alignment horizontal="center"/>
      <protection locked="0" hidden="1"/>
    </xf>
    <xf numFmtId="2" fontId="0" fillId="7" borderId="30" xfId="0" applyNumberFormat="1" applyFill="1" applyBorder="1" applyAlignment="1" applyProtection="1">
      <alignment horizontal="center"/>
      <protection locked="0" hidden="1"/>
    </xf>
    <xf numFmtId="0" fontId="7" fillId="10" borderId="28" xfId="0" applyFont="1" applyFill="1" applyBorder="1" applyAlignment="1" applyProtection="1">
      <alignment horizontal="left"/>
      <protection hidden="1"/>
    </xf>
    <xf numFmtId="0" fontId="7" fillId="10" borderId="29" xfId="0" applyFont="1" applyFill="1" applyBorder="1" applyProtection="1">
      <protection hidden="1"/>
    </xf>
    <xf numFmtId="0" fontId="29" fillId="10" borderId="42" xfId="0" applyFont="1" applyFill="1" applyBorder="1" applyProtection="1">
      <protection locked="0" hidden="1"/>
    </xf>
    <xf numFmtId="0" fontId="0" fillId="3" borderId="2" xfId="0" applyFill="1" applyBorder="1" applyAlignment="1" applyProtection="1">
      <alignment vertical="top"/>
      <protection locked="0" hidden="1"/>
    </xf>
    <xf numFmtId="0" fontId="20" fillId="4" borderId="0" xfId="0" applyFont="1" applyFill="1" applyProtection="1">
      <protection locked="0" hidden="1"/>
    </xf>
    <xf numFmtId="44" fontId="5" fillId="4" borderId="6" xfId="2" applyFont="1" applyFill="1" applyBorder="1" applyAlignment="1" applyProtection="1">
      <alignment horizontal="right"/>
      <protection hidden="1"/>
    </xf>
    <xf numFmtId="0" fontId="0" fillId="12" borderId="2" xfId="0" applyFill="1" applyBorder="1" applyProtection="1">
      <protection locked="0" hidden="1"/>
    </xf>
    <xf numFmtId="8" fontId="0" fillId="8" borderId="0" xfId="1" applyNumberFormat="1" applyFont="1" applyFill="1" applyBorder="1" applyAlignment="1" applyProtection="1">
      <alignment vertical="center"/>
      <protection locked="0" hidden="1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 applyProtection="1">
      <alignment horizontal="center" vertical="center"/>
      <protection hidden="1"/>
    </xf>
    <xf numFmtId="0" fontId="26" fillId="5" borderId="2" xfId="0" applyFont="1" applyFill="1" applyBorder="1" applyAlignment="1" applyProtection="1">
      <alignment horizontal="center" vertical="center"/>
      <protection hidden="1"/>
    </xf>
    <xf numFmtId="0" fontId="26" fillId="5" borderId="3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/>
      <protection hidden="1"/>
    </xf>
    <xf numFmtId="0" fontId="5" fillId="2" borderId="2" xfId="0" applyFont="1" applyFill="1" applyBorder="1" applyAlignment="1" applyProtection="1">
      <alignment horizontal="center"/>
      <protection hidden="1"/>
    </xf>
    <xf numFmtId="0" fontId="8" fillId="3" borderId="1" xfId="1" applyNumberFormat="1" applyFont="1" applyFill="1" applyBorder="1" applyAlignment="1" applyProtection="1">
      <alignment horizontal="center"/>
      <protection locked="0" hidden="1"/>
    </xf>
    <xf numFmtId="0" fontId="8" fillId="3" borderId="3" xfId="1" applyNumberFormat="1" applyFont="1" applyFill="1" applyBorder="1" applyAlignment="1" applyProtection="1">
      <alignment horizontal="center"/>
      <protection locked="0" hidden="1"/>
    </xf>
    <xf numFmtId="0" fontId="8" fillId="2" borderId="8" xfId="0" applyFont="1" applyFill="1" applyBorder="1" applyAlignment="1" applyProtection="1">
      <alignment horizontal="center"/>
      <protection hidden="1"/>
    </xf>
    <xf numFmtId="0" fontId="8" fillId="2" borderId="4" xfId="0" applyFont="1" applyFill="1" applyBorder="1" applyAlignment="1" applyProtection="1">
      <alignment horizontal="center"/>
      <protection hidden="1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0" fontId="11" fillId="2" borderId="3" xfId="0" applyFont="1" applyFill="1" applyBorder="1" applyAlignment="1" applyProtection="1">
      <alignment horizontal="center" vertical="center"/>
      <protection hidden="1"/>
    </xf>
    <xf numFmtId="0" fontId="8" fillId="2" borderId="1" xfId="0" applyFont="1" applyFill="1" applyBorder="1" applyAlignment="1" applyProtection="1">
      <alignment horizontal="center" vertical="center"/>
      <protection hidden="1"/>
    </xf>
    <xf numFmtId="0" fontId="8" fillId="2" borderId="2" xfId="0" applyFont="1" applyFill="1" applyBorder="1" applyAlignment="1" applyProtection="1">
      <alignment horizontal="center" vertical="center"/>
      <protection hidden="1"/>
    </xf>
    <xf numFmtId="0" fontId="8" fillId="2" borderId="10" xfId="0" applyFont="1" applyFill="1" applyBorder="1" applyAlignment="1" applyProtection="1">
      <alignment horizontal="center" vertical="center"/>
      <protection hidden="1"/>
    </xf>
    <xf numFmtId="0" fontId="8" fillId="2" borderId="12" xfId="0" applyFont="1" applyFill="1" applyBorder="1" applyAlignment="1" applyProtection="1">
      <alignment horizontal="center" vertical="center" wrapText="1"/>
      <protection hidden="1"/>
    </xf>
    <xf numFmtId="0" fontId="8" fillId="2" borderId="2" xfId="0" applyFont="1" applyFill="1" applyBorder="1" applyAlignment="1" applyProtection="1">
      <alignment horizontal="center" vertical="center" wrapText="1"/>
      <protection hidden="1"/>
    </xf>
    <xf numFmtId="0" fontId="7" fillId="6" borderId="8" xfId="0" applyFont="1" applyFill="1" applyBorder="1" applyAlignment="1" applyProtection="1">
      <alignment horizontal="left"/>
      <protection hidden="1"/>
    </xf>
    <xf numFmtId="0" fontId="0" fillId="6" borderId="4" xfId="0" applyFill="1" applyBorder="1" applyAlignment="1" applyProtection="1">
      <alignment horizontal="left"/>
      <protection hidden="1"/>
    </xf>
    <xf numFmtId="0" fontId="0" fillId="6" borderId="5" xfId="0" applyFill="1" applyBorder="1" applyAlignment="1" applyProtection="1">
      <alignment horizontal="left"/>
      <protection hidden="1"/>
    </xf>
    <xf numFmtId="0" fontId="16" fillId="11" borderId="2" xfId="0" applyFont="1" applyFill="1" applyBorder="1" applyAlignment="1">
      <alignment horizontal="center" vertical="center"/>
    </xf>
    <xf numFmtId="0" fontId="0" fillId="2" borderId="17" xfId="0" applyFill="1" applyBorder="1" applyAlignment="1" applyProtection="1">
      <alignment horizontal="left"/>
      <protection hidden="1"/>
    </xf>
    <xf numFmtId="0" fontId="0" fillId="2" borderId="0" xfId="0" applyFill="1" applyAlignment="1" applyProtection="1">
      <alignment horizontal="left"/>
      <protection hidden="1"/>
    </xf>
    <xf numFmtId="0" fontId="0" fillId="4" borderId="17" xfId="0" applyFill="1" applyBorder="1" applyAlignment="1" applyProtection="1">
      <alignment horizontal="left"/>
      <protection hidden="1"/>
    </xf>
    <xf numFmtId="0" fontId="0" fillId="4" borderId="0" xfId="0" applyFill="1" applyAlignment="1" applyProtection="1">
      <alignment horizontal="left"/>
      <protection hidden="1"/>
    </xf>
    <xf numFmtId="0" fontId="7" fillId="2" borderId="17" xfId="0" applyFont="1" applyFill="1" applyBorder="1" applyAlignment="1" applyProtection="1">
      <alignment horizontal="left"/>
      <protection hidden="1"/>
    </xf>
    <xf numFmtId="0" fontId="11" fillId="4" borderId="29" xfId="0" applyFont="1" applyFill="1" applyBorder="1" applyAlignment="1" applyProtection="1">
      <alignment horizontal="center"/>
      <protection hidden="1"/>
    </xf>
    <xf numFmtId="0" fontId="11" fillId="4" borderId="40" xfId="0" applyFont="1" applyFill="1" applyBorder="1" applyAlignment="1" applyProtection="1">
      <alignment horizontal="center"/>
      <protection hidden="1"/>
    </xf>
    <xf numFmtId="0" fontId="25" fillId="2" borderId="1" xfId="0" applyFont="1" applyFill="1" applyBorder="1" applyAlignment="1" applyProtection="1">
      <alignment horizontal="center" wrapText="1"/>
      <protection hidden="1"/>
    </xf>
    <xf numFmtId="0" fontId="25" fillId="2" borderId="2" xfId="0" applyFont="1" applyFill="1" applyBorder="1" applyAlignment="1" applyProtection="1">
      <alignment horizontal="center" wrapText="1"/>
      <protection hidden="1"/>
    </xf>
    <xf numFmtId="0" fontId="25" fillId="2" borderId="3" xfId="0" applyFont="1" applyFill="1" applyBorder="1" applyAlignment="1" applyProtection="1">
      <alignment horizontal="center" wrapText="1"/>
      <protection hidden="1"/>
    </xf>
    <xf numFmtId="0" fontId="13" fillId="2" borderId="1" xfId="0" applyFont="1" applyFill="1" applyBorder="1" applyAlignment="1" applyProtection="1">
      <alignment horizontal="center" vertical="center"/>
      <protection hidden="1"/>
    </xf>
    <xf numFmtId="0" fontId="13" fillId="2" borderId="2" xfId="0" applyFont="1" applyFill="1" applyBorder="1" applyAlignment="1" applyProtection="1">
      <alignment horizontal="center" vertical="center"/>
      <protection hidden="1"/>
    </xf>
    <xf numFmtId="0" fontId="13" fillId="2" borderId="3" xfId="0" applyFont="1" applyFill="1" applyBorder="1" applyAlignment="1" applyProtection="1">
      <alignment horizontal="center" vertical="center"/>
      <protection hidden="1"/>
    </xf>
    <xf numFmtId="0" fontId="7" fillId="9" borderId="17" xfId="0" applyFont="1" applyFill="1" applyBorder="1" applyAlignment="1" applyProtection="1">
      <alignment horizontal="left"/>
      <protection hidden="1"/>
    </xf>
    <xf numFmtId="0" fontId="7" fillId="9" borderId="0" xfId="0" applyFont="1" applyFill="1" applyAlignment="1" applyProtection="1">
      <alignment horizontal="left"/>
      <protection hidden="1"/>
    </xf>
    <xf numFmtId="0" fontId="7" fillId="9" borderId="7" xfId="0" applyFont="1" applyFill="1" applyBorder="1" applyAlignment="1" applyProtection="1">
      <alignment horizontal="left"/>
      <protection hidden="1"/>
    </xf>
    <xf numFmtId="0" fontId="22" fillId="9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7" fillId="2" borderId="28" xfId="0" applyFont="1" applyFill="1" applyBorder="1" applyAlignment="1" applyProtection="1">
      <alignment horizontal="left"/>
      <protection hidden="1"/>
    </xf>
    <xf numFmtId="0" fontId="0" fillId="2" borderId="29" xfId="0" applyFill="1" applyBorder="1" applyAlignment="1" applyProtection="1">
      <alignment horizontal="left"/>
      <protection hidden="1"/>
    </xf>
    <xf numFmtId="0" fontId="0" fillId="7" borderId="36" xfId="0" applyFill="1" applyBorder="1" applyAlignment="1" applyProtection="1">
      <alignment horizontal="left" vertical="center"/>
      <protection locked="0" hidden="1"/>
    </xf>
    <xf numFmtId="0" fontId="0" fillId="7" borderId="18" xfId="0" applyFill="1" applyBorder="1" applyAlignment="1" applyProtection="1">
      <alignment horizontal="left" vertical="center"/>
      <protection locked="0" hidden="1"/>
    </xf>
    <xf numFmtId="0" fontId="26" fillId="2" borderId="1" xfId="0" applyFont="1" applyFill="1" applyBorder="1" applyAlignment="1" applyProtection="1">
      <alignment horizontal="center" vertical="center"/>
      <protection hidden="1"/>
    </xf>
    <xf numFmtId="0" fontId="26" fillId="2" borderId="2" xfId="0" applyFont="1" applyFill="1" applyBorder="1" applyAlignment="1" applyProtection="1">
      <alignment horizontal="center" vertical="center"/>
      <protection hidden="1"/>
    </xf>
    <xf numFmtId="0" fontId="26" fillId="2" borderId="3" xfId="0" applyFont="1" applyFill="1" applyBorder="1" applyAlignment="1" applyProtection="1">
      <alignment horizontal="center" vertical="center"/>
      <protection hidden="1"/>
    </xf>
    <xf numFmtId="0" fontId="12" fillId="5" borderId="1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D12" lockText="1" noThreeD="1"/>
</file>

<file path=xl/ctrlProps/ctrlProp2.xml><?xml version="1.0" encoding="utf-8"?>
<formControlPr xmlns="http://schemas.microsoft.com/office/spreadsheetml/2009/9/main" objectType="CheckBox" fmlaLink="D13" lockText="1"/>
</file>

<file path=xl/ctrlProps/ctrlProp3.xml><?xml version="1.0" encoding="utf-8"?>
<formControlPr xmlns="http://schemas.microsoft.com/office/spreadsheetml/2009/9/main" objectType="CheckBox" fmlaLink="D14" lockText="1" noThreeD="1"/>
</file>

<file path=xl/ctrlProps/ctrlProp4.xml><?xml version="1.0" encoding="utf-8"?>
<formControlPr xmlns="http://schemas.microsoft.com/office/spreadsheetml/2009/9/main" objectType="CheckBox" fmlaLink="D15" lockText="1" noThreeD="1"/>
</file>

<file path=xl/ctrlProps/ctrlProp5.xml><?xml version="1.0" encoding="utf-8"?>
<formControlPr xmlns="http://schemas.microsoft.com/office/spreadsheetml/2009/9/main" objectType="CheckBox" fmlaLink="D17" lockText="1" noThreeD="1"/>
</file>

<file path=xl/ctrlProps/ctrlProp6.xml><?xml version="1.0" encoding="utf-8"?>
<formControlPr xmlns="http://schemas.microsoft.com/office/spreadsheetml/2009/9/main" objectType="CheckBox" fmlaLink="D18" lockText="1" noThreeD="1"/>
</file>

<file path=xl/ctrlProps/ctrlProp7.xml><?xml version="1.0" encoding="utf-8"?>
<formControlPr xmlns="http://schemas.microsoft.com/office/spreadsheetml/2009/9/main" objectType="CheckBox" fmlaLink="D19" lockText="1" noThreeD="1"/>
</file>

<file path=xl/ctrlProps/ctrlProp8.xml><?xml version="1.0" encoding="utf-8"?>
<formControlPr xmlns="http://schemas.microsoft.com/office/spreadsheetml/2009/9/main" objectType="CheckBox" checked="Checked" fmlaLink="D20" lockText="1" noThreeD="1"/>
</file>

<file path=xl/ctrlProps/ctrlProp9.xml><?xml version="1.0" encoding="utf-8"?>
<formControlPr xmlns="http://schemas.microsoft.com/office/spreadsheetml/2009/9/main" objectType="CheckBox" fmlaLink="D21" lockText="1" noThreeD="1"/>
</file>

<file path=xl/ctrlProps/ctrlProp10.xml><?xml version="1.0" encoding="utf-8"?>
<formControlPr xmlns="http://schemas.microsoft.com/office/spreadsheetml/2009/9/main" objectType="CheckBox" fmlaLink="D25" lockText="1" noThreeD="1"/>
</file>

<file path=xl/ctrlProps/ctrlProp11.xml><?xml version="1.0" encoding="utf-8"?>
<formControlPr xmlns="http://schemas.microsoft.com/office/spreadsheetml/2009/9/main" objectType="CheckBox" fmlaLink="D23" lockText="1" noThreeD="1"/>
</file>

<file path=xl/ctrlProps/ctrlProp12.xml><?xml version="1.0" encoding="utf-8"?>
<formControlPr xmlns="http://schemas.microsoft.com/office/spreadsheetml/2009/9/main" objectType="CheckBox" fmlaLink="D14" lockText="1" noThreeD="1"/>
</file>

<file path=xl/ctrlProps/ctrlProp13.xml><?xml version="1.0" encoding="utf-8"?>
<formControlPr xmlns="http://schemas.microsoft.com/office/spreadsheetml/2009/9/main" objectType="CheckBox" fmlaLink="$D$10" noThreeD="1"/>
</file>

<file path=xl/ctrlProps/ctrlProp14.xml><?xml version="1.0" encoding="utf-8"?>
<formControlPr xmlns="http://schemas.microsoft.com/office/spreadsheetml/2009/9/main" objectType="CheckBox" fmlaLink="D12" lockText="1" noThreeD="1"/>
</file>

<file path=xl/ctrlProps/ctrlProp15.xml><?xml version="1.0" encoding="utf-8"?>
<formControlPr xmlns="http://schemas.microsoft.com/office/spreadsheetml/2009/9/main" objectType="CheckBox" fmlaLink="D13" lockText="1"/>
</file>

<file path=xl/ctrlProps/ctrlProp16.xml><?xml version="1.0" encoding="utf-8"?>
<formControlPr xmlns="http://schemas.microsoft.com/office/spreadsheetml/2009/9/main" objectType="CheckBox" checked="Checked" fmlaLink="D14" lockText="1" noThreeD="1"/>
</file>

<file path=xl/ctrlProps/ctrlProp17.xml><?xml version="1.0" encoding="utf-8"?>
<formControlPr xmlns="http://schemas.microsoft.com/office/spreadsheetml/2009/9/main" objectType="CheckBox" fmlaLink="D15" lockText="1" noThreeD="1"/>
</file>

<file path=xl/ctrlProps/ctrlProp18.xml><?xml version="1.0" encoding="utf-8"?>
<formControlPr xmlns="http://schemas.microsoft.com/office/spreadsheetml/2009/9/main" objectType="CheckBox" fmlaLink="D17" lockText="1" noThreeD="1"/>
</file>

<file path=xl/ctrlProps/ctrlProp19.xml><?xml version="1.0" encoding="utf-8"?>
<formControlPr xmlns="http://schemas.microsoft.com/office/spreadsheetml/2009/9/main" objectType="CheckBox" fmlaLink="D18" lockText="1" noThreeD="1"/>
</file>

<file path=xl/ctrlProps/ctrlProp20.xml><?xml version="1.0" encoding="utf-8"?>
<formControlPr xmlns="http://schemas.microsoft.com/office/spreadsheetml/2009/9/main" objectType="CheckBox" fmlaLink="D19" lockText="1" noThreeD="1"/>
</file>

<file path=xl/ctrlProps/ctrlProp21.xml><?xml version="1.0" encoding="utf-8"?>
<formControlPr xmlns="http://schemas.microsoft.com/office/spreadsheetml/2009/9/main" objectType="CheckBox" checked="Checked" fmlaLink="D20" lockText="1" noThreeD="1"/>
</file>

<file path=xl/ctrlProps/ctrlProp22.xml><?xml version="1.0" encoding="utf-8"?>
<formControlPr xmlns="http://schemas.microsoft.com/office/spreadsheetml/2009/9/main" objectType="CheckBox" fmlaLink="D21" lockText="1" noThreeD="1"/>
</file>

<file path=xl/ctrlProps/ctrlProp23.xml><?xml version="1.0" encoding="utf-8"?>
<formControlPr xmlns="http://schemas.microsoft.com/office/spreadsheetml/2009/9/main" objectType="CheckBox" checked="Checked" fmlaLink="D25" lockText="1" noThreeD="1"/>
</file>

<file path=xl/ctrlProps/ctrlProp24.xml><?xml version="1.0" encoding="utf-8"?>
<formControlPr xmlns="http://schemas.microsoft.com/office/spreadsheetml/2009/9/main" objectType="CheckBox" checked="Checked" fmlaLink="D23" lockText="1" noThreeD="1"/>
</file>

<file path=xl/ctrlProps/ctrlProp25.xml><?xml version="1.0" encoding="utf-8"?>
<formControlPr xmlns="http://schemas.microsoft.com/office/spreadsheetml/2009/9/main" objectType="CheckBox" checked="Checked" fmlaLink="D14" lockText="1" noThreeD="1"/>
</file>

<file path=xl/ctrlProps/ctrlProp26.xml><?xml version="1.0" encoding="utf-8"?>
<formControlPr xmlns="http://schemas.microsoft.com/office/spreadsheetml/2009/9/main" objectType="CheckBox" checked="Checked" fmlaLink="$D$10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10</xdr:row>
          <xdr:rowOff>228600</xdr:rowOff>
        </xdr:from>
        <xdr:to>
          <xdr:col>4</xdr:col>
          <xdr:colOff>203200</xdr:colOff>
          <xdr:row>12</xdr:row>
          <xdr:rowOff>12700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11</xdr:row>
          <xdr:rowOff>165100</xdr:rowOff>
        </xdr:from>
        <xdr:to>
          <xdr:col>4</xdr:col>
          <xdr:colOff>279400</xdr:colOff>
          <xdr:row>13</xdr:row>
          <xdr:rowOff>12700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13</xdr:row>
          <xdr:rowOff>165100</xdr:rowOff>
        </xdr:from>
        <xdr:to>
          <xdr:col>4</xdr:col>
          <xdr:colOff>254000</xdr:colOff>
          <xdr:row>15</xdr:row>
          <xdr:rowOff>12700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13</xdr:row>
          <xdr:rowOff>177800</xdr:rowOff>
        </xdr:from>
        <xdr:to>
          <xdr:col>4</xdr:col>
          <xdr:colOff>279400</xdr:colOff>
          <xdr:row>15</xdr:row>
          <xdr:rowOff>25400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15</xdr:row>
          <xdr:rowOff>215900</xdr:rowOff>
        </xdr:from>
        <xdr:to>
          <xdr:col>4</xdr:col>
          <xdr:colOff>279400</xdr:colOff>
          <xdr:row>17</xdr:row>
          <xdr:rowOff>25400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16</xdr:row>
          <xdr:rowOff>165100</xdr:rowOff>
        </xdr:from>
        <xdr:to>
          <xdr:col>4</xdr:col>
          <xdr:colOff>203200</xdr:colOff>
          <xdr:row>18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18</xdr:row>
          <xdr:rowOff>0</xdr:rowOff>
        </xdr:from>
        <xdr:to>
          <xdr:col>4</xdr:col>
          <xdr:colOff>254000</xdr:colOff>
          <xdr:row>19</xdr:row>
          <xdr:rowOff>12700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18</xdr:row>
          <xdr:rowOff>190500</xdr:rowOff>
        </xdr:from>
        <xdr:to>
          <xdr:col>4</xdr:col>
          <xdr:colOff>254000</xdr:colOff>
          <xdr:row>19</xdr:row>
          <xdr:rowOff>190500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330200</xdr:colOff>
          <xdr:row>19</xdr:row>
          <xdr:rowOff>177800</xdr:rowOff>
        </xdr:from>
        <xdr:to>
          <xdr:col>4</xdr:col>
          <xdr:colOff>254000</xdr:colOff>
          <xdr:row>21</xdr:row>
          <xdr:rowOff>12700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24</xdr:row>
          <xdr:rowOff>38100</xdr:rowOff>
        </xdr:from>
        <xdr:to>
          <xdr:col>4</xdr:col>
          <xdr:colOff>203200</xdr:colOff>
          <xdr:row>25</xdr:row>
          <xdr:rowOff>25400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21</xdr:row>
          <xdr:rowOff>228600</xdr:rowOff>
        </xdr:from>
        <xdr:to>
          <xdr:col>4</xdr:col>
          <xdr:colOff>228600</xdr:colOff>
          <xdr:row>23</xdr:row>
          <xdr:rowOff>25400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12</xdr:row>
          <xdr:rowOff>190500</xdr:rowOff>
        </xdr:from>
        <xdr:to>
          <xdr:col>4</xdr:col>
          <xdr:colOff>279400</xdr:colOff>
          <xdr:row>14</xdr:row>
          <xdr:rowOff>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342900</xdr:colOff>
          <xdr:row>8</xdr:row>
          <xdr:rowOff>114300</xdr:rowOff>
        </xdr:from>
        <xdr:to>
          <xdr:col>4</xdr:col>
          <xdr:colOff>203200</xdr:colOff>
          <xdr:row>10</xdr:row>
          <xdr:rowOff>88900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 fLock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10</xdr:row>
          <xdr:rowOff>228600</xdr:rowOff>
        </xdr:from>
        <xdr:to>
          <xdr:col>4</xdr:col>
          <xdr:colOff>203200</xdr:colOff>
          <xdr:row>12</xdr:row>
          <xdr:rowOff>25400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11</xdr:row>
          <xdr:rowOff>165100</xdr:rowOff>
        </xdr:from>
        <xdr:to>
          <xdr:col>4</xdr:col>
          <xdr:colOff>279400</xdr:colOff>
          <xdr:row>13</xdr:row>
          <xdr:rowOff>12700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13</xdr:row>
          <xdr:rowOff>165100</xdr:rowOff>
        </xdr:from>
        <xdr:to>
          <xdr:col>4</xdr:col>
          <xdr:colOff>254000</xdr:colOff>
          <xdr:row>15</xdr:row>
          <xdr:rowOff>12700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13</xdr:row>
          <xdr:rowOff>177800</xdr:rowOff>
        </xdr:from>
        <xdr:to>
          <xdr:col>4</xdr:col>
          <xdr:colOff>279400</xdr:colOff>
          <xdr:row>15</xdr:row>
          <xdr:rowOff>38100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330200</xdr:colOff>
          <xdr:row>15</xdr:row>
          <xdr:rowOff>228600</xdr:rowOff>
        </xdr:from>
        <xdr:to>
          <xdr:col>4</xdr:col>
          <xdr:colOff>292100</xdr:colOff>
          <xdr:row>17</xdr:row>
          <xdr:rowOff>25400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17</xdr:row>
          <xdr:rowOff>0</xdr:rowOff>
        </xdr:from>
        <xdr:to>
          <xdr:col>4</xdr:col>
          <xdr:colOff>203200</xdr:colOff>
          <xdr:row>18</xdr:row>
          <xdr:rowOff>12700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18</xdr:row>
          <xdr:rowOff>0</xdr:rowOff>
        </xdr:from>
        <xdr:to>
          <xdr:col>4</xdr:col>
          <xdr:colOff>254000</xdr:colOff>
          <xdr:row>19</xdr:row>
          <xdr:rowOff>12700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18</xdr:row>
          <xdr:rowOff>203200</xdr:rowOff>
        </xdr:from>
        <xdr:to>
          <xdr:col>4</xdr:col>
          <xdr:colOff>254000</xdr:colOff>
          <xdr:row>20</xdr:row>
          <xdr:rowOff>12700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330200</xdr:colOff>
          <xdr:row>19</xdr:row>
          <xdr:rowOff>177800</xdr:rowOff>
        </xdr:from>
        <xdr:to>
          <xdr:col>4</xdr:col>
          <xdr:colOff>254000</xdr:colOff>
          <xdr:row>21</xdr:row>
          <xdr:rowOff>25400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24</xdr:row>
          <xdr:rowOff>38100</xdr:rowOff>
        </xdr:from>
        <xdr:to>
          <xdr:col>4</xdr:col>
          <xdr:colOff>203200</xdr:colOff>
          <xdr:row>25</xdr:row>
          <xdr:rowOff>25400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21</xdr:row>
          <xdr:rowOff>190500</xdr:rowOff>
        </xdr:from>
        <xdr:to>
          <xdr:col>4</xdr:col>
          <xdr:colOff>203200</xdr:colOff>
          <xdr:row>23</xdr:row>
          <xdr:rowOff>12700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12</xdr:row>
          <xdr:rowOff>190500</xdr:rowOff>
        </xdr:from>
        <xdr:to>
          <xdr:col>4</xdr:col>
          <xdr:colOff>279400</xdr:colOff>
          <xdr:row>14</xdr:row>
          <xdr:rowOff>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342900</xdr:colOff>
          <xdr:row>8</xdr:row>
          <xdr:rowOff>114300</xdr:rowOff>
        </xdr:from>
        <xdr:to>
          <xdr:col>4</xdr:col>
          <xdr:colOff>203200</xdr:colOff>
          <xdr:row>10</xdr:row>
          <xdr:rowOff>101600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9.xml"/><Relationship Id="rId13" Type="http://schemas.openxmlformats.org/officeDocument/2006/relationships/ctrlProp" Target="../ctrlProps/ctrlProp24.xml"/><Relationship Id="rId3" Type="http://schemas.openxmlformats.org/officeDocument/2006/relationships/ctrlProp" Target="../ctrlProps/ctrlProp14.xml"/><Relationship Id="rId7" Type="http://schemas.openxmlformats.org/officeDocument/2006/relationships/ctrlProp" Target="../ctrlProps/ctrlProp18.xml"/><Relationship Id="rId12" Type="http://schemas.openxmlformats.org/officeDocument/2006/relationships/ctrlProp" Target="../ctrlProps/ctrlProp2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17.xml"/><Relationship Id="rId11" Type="http://schemas.openxmlformats.org/officeDocument/2006/relationships/ctrlProp" Target="../ctrlProps/ctrlProp22.xml"/><Relationship Id="rId5" Type="http://schemas.openxmlformats.org/officeDocument/2006/relationships/ctrlProp" Target="../ctrlProps/ctrlProp16.xml"/><Relationship Id="rId15" Type="http://schemas.openxmlformats.org/officeDocument/2006/relationships/ctrlProp" Target="../ctrlProps/ctrlProp26.xml"/><Relationship Id="rId10" Type="http://schemas.openxmlformats.org/officeDocument/2006/relationships/ctrlProp" Target="../ctrlProps/ctrlProp21.xml"/><Relationship Id="rId4" Type="http://schemas.openxmlformats.org/officeDocument/2006/relationships/ctrlProp" Target="../ctrlProps/ctrlProp15.xml"/><Relationship Id="rId9" Type="http://schemas.openxmlformats.org/officeDocument/2006/relationships/ctrlProp" Target="../ctrlProps/ctrlProp20.xml"/><Relationship Id="rId14" Type="http://schemas.openxmlformats.org/officeDocument/2006/relationships/ctrlProp" Target="../ctrlProps/ctrlProp2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3951E-5379-9445-BFA7-04D5BE03F2A3}">
  <dimension ref="B1:X51"/>
  <sheetViews>
    <sheetView zoomScale="82" workbookViewId="0">
      <selection activeCell="Q16" sqref="Q16"/>
    </sheetView>
  </sheetViews>
  <sheetFormatPr baseColWidth="10" defaultColWidth="8.83203125" defaultRowHeight="16" x14ac:dyDescent="0.2"/>
  <cols>
    <col min="1" max="1" width="2.6640625" customWidth="1"/>
    <col min="2" max="2" width="17.6640625" customWidth="1"/>
    <col min="3" max="3" width="16.6640625" customWidth="1"/>
    <col min="4" max="4" width="5.1640625" customWidth="1"/>
    <col min="5" max="5" width="18.6640625" customWidth="1"/>
    <col min="6" max="6" width="6.1640625" customWidth="1"/>
    <col min="7" max="7" width="12.5" customWidth="1"/>
    <col min="8" max="8" width="1.5" customWidth="1"/>
    <col min="9" max="9" width="17.1640625" customWidth="1"/>
    <col min="12" max="14" width="7.33203125" customWidth="1"/>
    <col min="15" max="16" width="7.1640625" customWidth="1"/>
    <col min="17" max="17" width="20.6640625" customWidth="1"/>
    <col min="18" max="19" width="14.6640625" customWidth="1"/>
    <col min="21" max="21" width="18.5" customWidth="1"/>
    <col min="22" max="23" width="11.5" customWidth="1"/>
    <col min="25" max="25" width="12.33203125" customWidth="1"/>
  </cols>
  <sheetData>
    <row r="1" spans="2:24" ht="48" customHeight="1" thickBot="1" x14ac:dyDescent="0.25">
      <c r="B1" s="175" t="s">
        <v>52</v>
      </c>
      <c r="C1" s="176"/>
      <c r="D1" s="176"/>
      <c r="E1" s="176"/>
      <c r="F1" s="176"/>
      <c r="G1" s="176"/>
      <c r="H1" s="176"/>
      <c r="I1" s="176"/>
      <c r="J1" s="177"/>
      <c r="K1" s="49"/>
      <c r="L1" s="49"/>
      <c r="M1" s="49"/>
      <c r="N1" s="49"/>
      <c r="O1" s="49"/>
      <c r="P1" s="49"/>
      <c r="V1" s="1"/>
      <c r="X1" s="2"/>
    </row>
    <row r="2" spans="2:24" ht="21" customHeight="1" thickBot="1" x14ac:dyDescent="0.25">
      <c r="B2" s="178" t="s">
        <v>0</v>
      </c>
      <c r="C2" s="179"/>
      <c r="D2" s="50"/>
      <c r="E2" s="51" t="s">
        <v>1</v>
      </c>
      <c r="F2" s="50"/>
      <c r="G2" s="52"/>
      <c r="H2" s="52"/>
      <c r="I2" s="52"/>
      <c r="J2" s="53"/>
      <c r="K2" s="49"/>
      <c r="L2" s="49"/>
      <c r="M2" s="49"/>
      <c r="N2" s="49"/>
      <c r="O2" s="49"/>
      <c r="P2" s="49"/>
      <c r="V2" s="3"/>
    </row>
    <row r="3" spans="2:24" ht="25" customHeight="1" thickBot="1" x14ac:dyDescent="0.25">
      <c r="B3" s="180">
        <v>20000</v>
      </c>
      <c r="C3" s="181"/>
      <c r="D3" s="52"/>
      <c r="E3" s="54">
        <f>B3*B5</f>
        <v>50000</v>
      </c>
      <c r="F3" s="52"/>
      <c r="G3" s="52"/>
      <c r="H3" s="52"/>
      <c r="I3" s="52"/>
      <c r="J3" s="55"/>
      <c r="K3" s="49"/>
      <c r="L3" s="49"/>
      <c r="M3" s="49"/>
      <c r="N3" s="49"/>
      <c r="O3" s="49"/>
      <c r="P3" s="49"/>
      <c r="V3" s="4"/>
      <c r="X3" s="5"/>
    </row>
    <row r="4" spans="2:24" ht="35" thickBot="1" x14ac:dyDescent="0.25">
      <c r="B4" s="182" t="s">
        <v>2</v>
      </c>
      <c r="C4" s="183"/>
      <c r="D4" s="52"/>
      <c r="E4" s="56" t="s">
        <v>3</v>
      </c>
      <c r="F4" s="52"/>
      <c r="G4" s="52"/>
      <c r="H4" s="52"/>
      <c r="I4" s="52"/>
      <c r="J4" s="55"/>
      <c r="K4" s="49"/>
      <c r="L4" s="49"/>
      <c r="M4" s="49"/>
      <c r="N4" s="49"/>
      <c r="O4" s="49"/>
      <c r="P4" s="49"/>
      <c r="V4" s="3"/>
    </row>
    <row r="5" spans="2:24" ht="32" customHeight="1" thickBot="1" x14ac:dyDescent="0.3">
      <c r="B5" s="151">
        <v>2.5</v>
      </c>
      <c r="C5" s="57"/>
      <c r="D5" s="52"/>
      <c r="E5" s="58">
        <f>SUM(J7:J25)</f>
        <v>0.23814751716323404</v>
      </c>
      <c r="F5" s="52"/>
      <c r="G5" s="52"/>
      <c r="H5" s="52"/>
      <c r="I5" s="184" t="s">
        <v>4</v>
      </c>
      <c r="J5" s="185"/>
      <c r="K5" s="49"/>
      <c r="L5" s="172" t="s">
        <v>5</v>
      </c>
      <c r="M5" s="173"/>
      <c r="N5" s="173"/>
      <c r="O5" s="173"/>
      <c r="P5" s="174"/>
    </row>
    <row r="6" spans="2:24" ht="73" customHeight="1" thickBot="1" x14ac:dyDescent="0.25">
      <c r="B6" s="186" t="s">
        <v>8</v>
      </c>
      <c r="C6" s="187"/>
      <c r="D6" s="188"/>
      <c r="E6" s="59" t="s">
        <v>9</v>
      </c>
      <c r="F6" s="60" t="s">
        <v>10</v>
      </c>
      <c r="G6" s="189" t="s">
        <v>11</v>
      </c>
      <c r="H6" s="190"/>
      <c r="I6" s="132" t="s">
        <v>12</v>
      </c>
      <c r="J6" s="61" t="s">
        <v>13</v>
      </c>
      <c r="K6" s="49"/>
      <c r="L6" s="7" t="s">
        <v>14</v>
      </c>
      <c r="M6" s="8" t="s">
        <v>15</v>
      </c>
      <c r="N6" s="8" t="s">
        <v>16</v>
      </c>
      <c r="O6" s="8" t="s">
        <v>17</v>
      </c>
      <c r="P6" s="8" t="s">
        <v>18</v>
      </c>
    </row>
    <row r="7" spans="2:24" x14ac:dyDescent="0.2">
      <c r="B7" s="191" t="s">
        <v>37</v>
      </c>
      <c r="C7" s="192"/>
      <c r="D7" s="193"/>
      <c r="E7" s="62">
        <f>+B3/6000</f>
        <v>3.3333333333333335</v>
      </c>
      <c r="F7" s="156"/>
      <c r="G7" s="63">
        <v>575.35</v>
      </c>
      <c r="H7" s="52"/>
      <c r="I7" s="133">
        <f>(E7+F7)*G7</f>
        <v>1917.8333333333335</v>
      </c>
      <c r="J7" s="64">
        <f>I7/B3</f>
        <v>9.5891666666666681E-2</v>
      </c>
      <c r="K7" s="49"/>
      <c r="L7" s="10">
        <f>CEILING(E7,1)</f>
        <v>4</v>
      </c>
      <c r="M7" s="10">
        <f>CEILING(E7,1)</f>
        <v>4</v>
      </c>
      <c r="N7" s="10">
        <f>CEILING(E7,1)</f>
        <v>4</v>
      </c>
      <c r="O7" s="10">
        <f>CEILING(E7,1)</f>
        <v>4</v>
      </c>
      <c r="P7" s="10">
        <f>CEILING(E7,1)</f>
        <v>4</v>
      </c>
    </row>
    <row r="8" spans="2:24" x14ac:dyDescent="0.2">
      <c r="B8" s="65" t="s">
        <v>38</v>
      </c>
      <c r="C8" s="66"/>
      <c r="D8" s="67"/>
      <c r="E8" s="62">
        <f>+B3/2000</f>
        <v>10</v>
      </c>
      <c r="F8" s="157"/>
      <c r="G8" s="63">
        <v>126.35</v>
      </c>
      <c r="H8" s="52"/>
      <c r="I8" s="133">
        <f>(E8+F8)*G8</f>
        <v>1263.5</v>
      </c>
      <c r="J8" s="68">
        <f>I8/B3</f>
        <v>6.3174999999999995E-2</v>
      </c>
      <c r="K8" s="49"/>
      <c r="L8" s="13">
        <f t="shared" ref="L8:L10" si="0">CEILING(E8,1)</f>
        <v>10</v>
      </c>
      <c r="M8" s="13">
        <f t="shared" ref="M8:M10" si="1">CEILING(E8,1)</f>
        <v>10</v>
      </c>
      <c r="N8" s="13">
        <f t="shared" ref="N8:N10" si="2">CEILING(E8,1)</f>
        <v>10</v>
      </c>
      <c r="O8" s="13">
        <f t="shared" ref="O8:O10" si="3">CEILING(E8,1)</f>
        <v>10</v>
      </c>
      <c r="P8" s="13">
        <f t="shared" ref="P8:P10" si="4">CEILING(E8,1)</f>
        <v>10</v>
      </c>
    </row>
    <row r="9" spans="2:24" x14ac:dyDescent="0.2">
      <c r="B9" s="208" t="s">
        <v>40</v>
      </c>
      <c r="C9" s="209"/>
      <c r="D9" s="210"/>
      <c r="E9" s="62">
        <f>B3/9000</f>
        <v>2.2222222222222223</v>
      </c>
      <c r="F9" s="158"/>
      <c r="G9" s="63">
        <v>350</v>
      </c>
      <c r="H9" s="52"/>
      <c r="I9" s="133">
        <f>(E9+F9)*G9</f>
        <v>777.77777777777783</v>
      </c>
      <c r="J9" s="68">
        <f>I9/B3</f>
        <v>3.888888888888889E-2</v>
      </c>
      <c r="K9" s="49"/>
      <c r="L9" s="13">
        <f t="shared" si="0"/>
        <v>3</v>
      </c>
      <c r="M9" s="13">
        <f t="shared" si="1"/>
        <v>3</v>
      </c>
      <c r="N9" s="13">
        <f t="shared" si="2"/>
        <v>3</v>
      </c>
      <c r="O9" s="13">
        <f t="shared" si="3"/>
        <v>3</v>
      </c>
      <c r="P9" s="13">
        <f t="shared" si="4"/>
        <v>3</v>
      </c>
    </row>
    <row r="10" spans="2:24" ht="17" thickBot="1" x14ac:dyDescent="0.25">
      <c r="B10" s="164" t="s">
        <v>39</v>
      </c>
      <c r="C10" s="165"/>
      <c r="D10" s="166" t="b">
        <v>0</v>
      </c>
      <c r="E10" s="15">
        <f>IF(D10,B3/3500,0)</f>
        <v>0</v>
      </c>
      <c r="F10" s="159"/>
      <c r="G10" s="63">
        <v>124.5</v>
      </c>
      <c r="H10" s="52"/>
      <c r="I10" s="133">
        <f>(E10+F10)*G10</f>
        <v>0</v>
      </c>
      <c r="J10" s="69">
        <f>I10/B3</f>
        <v>0</v>
      </c>
      <c r="K10" s="49"/>
      <c r="L10" s="16">
        <f t="shared" si="0"/>
        <v>0</v>
      </c>
      <c r="M10" s="16">
        <f t="shared" si="1"/>
        <v>0</v>
      </c>
      <c r="N10" s="16">
        <f t="shared" si="2"/>
        <v>0</v>
      </c>
      <c r="O10" s="16">
        <f t="shared" si="3"/>
        <v>0</v>
      </c>
      <c r="P10" s="16">
        <f t="shared" si="4"/>
        <v>0</v>
      </c>
      <c r="R10" s="17"/>
      <c r="S10" s="17"/>
    </row>
    <row r="11" spans="2:24" ht="19" customHeight="1" thickBot="1" x14ac:dyDescent="0.25">
      <c r="B11" s="70" t="s">
        <v>21</v>
      </c>
      <c r="C11" s="71"/>
      <c r="D11" s="170"/>
      <c r="E11" s="72"/>
      <c r="F11" s="135"/>
      <c r="G11" s="73"/>
      <c r="H11" s="71"/>
      <c r="I11" s="73"/>
      <c r="J11" s="74"/>
      <c r="K11" s="71"/>
      <c r="L11" s="194" t="s">
        <v>21</v>
      </c>
      <c r="M11" s="194"/>
      <c r="N11" s="194"/>
      <c r="O11" s="194"/>
      <c r="P11" s="194"/>
      <c r="R11" s="17"/>
      <c r="S11" s="17"/>
    </row>
    <row r="12" spans="2:24" x14ac:dyDescent="0.2">
      <c r="B12" s="195" t="s">
        <v>41</v>
      </c>
      <c r="C12" s="196"/>
      <c r="D12" s="19" t="b">
        <v>0</v>
      </c>
      <c r="E12" s="75">
        <f>IF(D12,B3/1667,0)</f>
        <v>0</v>
      </c>
      <c r="F12" s="156"/>
      <c r="G12" s="63">
        <v>69</v>
      </c>
      <c r="H12" s="52"/>
      <c r="I12" s="133">
        <f>IF(D12=TRUE,(E12+F12)*G12,0)</f>
        <v>0</v>
      </c>
      <c r="J12" s="76">
        <f>I12/B3</f>
        <v>0</v>
      </c>
      <c r="K12" s="49"/>
      <c r="L12" s="20">
        <f>CEILING(E12,9)</f>
        <v>0</v>
      </c>
      <c r="M12" s="20">
        <f>CEILING(E12,12)</f>
        <v>0</v>
      </c>
      <c r="N12" s="20">
        <f>CEILING(E12,18)</f>
        <v>0</v>
      </c>
      <c r="O12" s="20">
        <f>CEILING(E12,24)</f>
        <v>0</v>
      </c>
      <c r="P12" s="20">
        <f>CEILING(E12,30)</f>
        <v>0</v>
      </c>
      <c r="R12" s="17"/>
      <c r="S12" s="17"/>
    </row>
    <row r="13" spans="2:24" x14ac:dyDescent="0.2">
      <c r="B13" s="195" t="s">
        <v>42</v>
      </c>
      <c r="C13" s="196"/>
      <c r="D13" s="19" t="b">
        <v>0</v>
      </c>
      <c r="E13" s="75">
        <f>IF(D13,B3/1667,0)</f>
        <v>0</v>
      </c>
      <c r="F13" s="158"/>
      <c r="G13" s="63">
        <v>67</v>
      </c>
      <c r="H13" s="52"/>
      <c r="I13" s="133">
        <f t="shared" ref="I13" si="5">IF(D13=TRUE,(E13+F13)*G13,0)</f>
        <v>0</v>
      </c>
      <c r="J13" s="77">
        <f>I13/B3</f>
        <v>0</v>
      </c>
      <c r="K13" s="49"/>
      <c r="L13" s="13">
        <f t="shared" ref="L13:L23" si="6">CEILING(E13,9)</f>
        <v>0</v>
      </c>
      <c r="M13" s="13">
        <f t="shared" ref="M13:M25" si="7">CEILING(E13,12)</f>
        <v>0</v>
      </c>
      <c r="N13" s="13">
        <f t="shared" ref="N13:N25" si="8">CEILING(E13,18)</f>
        <v>0</v>
      </c>
      <c r="O13" s="13">
        <f t="shared" ref="O13:O15" si="9">CEILING(E13,24)</f>
        <v>0</v>
      </c>
      <c r="P13" s="13">
        <f t="shared" ref="P13:P15" si="10">CEILING(E13,30)</f>
        <v>0</v>
      </c>
      <c r="R13" s="17"/>
      <c r="S13" s="17"/>
    </row>
    <row r="14" spans="2:24" x14ac:dyDescent="0.2">
      <c r="B14" s="199" t="s">
        <v>43</v>
      </c>
      <c r="C14" s="196"/>
      <c r="D14" s="19" t="b">
        <v>0</v>
      </c>
      <c r="E14" s="75">
        <f>IF(D14,B3/1667,0)</f>
        <v>0</v>
      </c>
      <c r="F14" s="158"/>
      <c r="G14" s="63">
        <v>67</v>
      </c>
      <c r="H14" s="52"/>
      <c r="I14" s="133">
        <f>IF(D14=TRUE,(E14+F14)*G14,0)</f>
        <v>0</v>
      </c>
      <c r="J14" s="77">
        <f>I14/B3</f>
        <v>0</v>
      </c>
      <c r="K14" s="49"/>
      <c r="L14" s="13">
        <f>CEILING(E14,9)</f>
        <v>0</v>
      </c>
      <c r="M14" s="13">
        <f t="shared" si="7"/>
        <v>0</v>
      </c>
      <c r="N14" s="13">
        <f t="shared" si="8"/>
        <v>0</v>
      </c>
      <c r="O14" s="13">
        <f t="shared" si="9"/>
        <v>0</v>
      </c>
      <c r="P14" s="13">
        <f t="shared" si="10"/>
        <v>0</v>
      </c>
      <c r="R14" s="17"/>
      <c r="S14" s="17"/>
    </row>
    <row r="15" spans="2:24" ht="17" thickBot="1" x14ac:dyDescent="0.25">
      <c r="B15" s="195" t="s">
        <v>47</v>
      </c>
      <c r="C15" s="196"/>
      <c r="D15" s="19" t="b">
        <v>0</v>
      </c>
      <c r="E15" s="75">
        <f>IF(D15,B3/555.55,0)</f>
        <v>0</v>
      </c>
      <c r="F15" s="159"/>
      <c r="G15" s="63">
        <v>18.989999999999998</v>
      </c>
      <c r="H15" s="52"/>
      <c r="I15" s="133">
        <f>IF(D15=TRUE,(E15+F15)*G15,0)</f>
        <v>0</v>
      </c>
      <c r="J15" s="78">
        <f>I15/B3</f>
        <v>0</v>
      </c>
      <c r="K15" s="49"/>
      <c r="L15" s="16">
        <f t="shared" si="6"/>
        <v>0</v>
      </c>
      <c r="M15" s="16">
        <f t="shared" si="7"/>
        <v>0</v>
      </c>
      <c r="N15" s="16">
        <f t="shared" si="8"/>
        <v>0</v>
      </c>
      <c r="O15" s="16">
        <f t="shared" si="9"/>
        <v>0</v>
      </c>
      <c r="P15" s="16">
        <f t="shared" si="10"/>
        <v>0</v>
      </c>
      <c r="R15" s="17"/>
      <c r="S15" s="17"/>
    </row>
    <row r="16" spans="2:24" ht="19" customHeight="1" thickBot="1" x14ac:dyDescent="0.25">
      <c r="B16" s="79" t="s">
        <v>22</v>
      </c>
      <c r="C16" s="80"/>
      <c r="D16" s="22"/>
      <c r="E16" s="81"/>
      <c r="F16" s="136"/>
      <c r="G16" s="82"/>
      <c r="H16" s="80"/>
      <c r="I16" s="82"/>
      <c r="J16" s="83"/>
      <c r="K16" s="80"/>
      <c r="L16" s="213" t="s">
        <v>22</v>
      </c>
      <c r="M16" s="213"/>
      <c r="N16" s="213"/>
      <c r="O16" s="213"/>
      <c r="P16" s="213"/>
      <c r="R16" s="17"/>
      <c r="S16" s="17"/>
    </row>
    <row r="17" spans="2:19" s="25" customFormat="1" ht="14" customHeight="1" x14ac:dyDescent="0.2">
      <c r="B17" s="195" t="s">
        <v>48</v>
      </c>
      <c r="C17" s="196"/>
      <c r="D17" s="24" t="b">
        <v>0</v>
      </c>
      <c r="E17" s="75">
        <f>IF(D17,B3/555.55,0)</f>
        <v>0</v>
      </c>
      <c r="F17" s="160"/>
      <c r="G17" s="84">
        <v>18.989999999999998</v>
      </c>
      <c r="H17" s="85"/>
      <c r="I17" s="133">
        <f t="shared" ref="I17:I25" si="11">IF(D17=TRUE,(E17+F17)*G17,0)</f>
        <v>0</v>
      </c>
      <c r="J17" s="76">
        <f>I17/B3</f>
        <v>0</v>
      </c>
      <c r="K17" s="86"/>
      <c r="L17" s="20">
        <f t="shared" si="6"/>
        <v>0</v>
      </c>
      <c r="M17" s="20">
        <f t="shared" si="7"/>
        <v>0</v>
      </c>
      <c r="N17" s="20">
        <f t="shared" si="8"/>
        <v>0</v>
      </c>
      <c r="O17" s="20">
        <f>CEILING(E17,24)</f>
        <v>0</v>
      </c>
      <c r="P17" s="20">
        <f>CEILING(E17,30)</f>
        <v>0</v>
      </c>
    </row>
    <row r="18" spans="2:19" s="25" customFormat="1" ht="15" customHeight="1" x14ac:dyDescent="0.2">
      <c r="B18" s="195" t="s">
        <v>49</v>
      </c>
      <c r="C18" s="196"/>
      <c r="D18" s="24" t="b">
        <v>0</v>
      </c>
      <c r="E18" s="75">
        <f>IF(D18,B3/555.55,0)</f>
        <v>0</v>
      </c>
      <c r="F18" s="161"/>
      <c r="G18" s="84">
        <v>18.989999999999998</v>
      </c>
      <c r="H18" s="85"/>
      <c r="I18" s="133">
        <f t="shared" si="11"/>
        <v>0</v>
      </c>
      <c r="J18" s="77">
        <f>I18/B3</f>
        <v>0</v>
      </c>
      <c r="K18" s="86"/>
      <c r="L18" s="13">
        <f t="shared" si="6"/>
        <v>0</v>
      </c>
      <c r="M18" s="13">
        <f t="shared" si="7"/>
        <v>0</v>
      </c>
      <c r="N18" s="13">
        <f t="shared" si="8"/>
        <v>0</v>
      </c>
      <c r="O18" s="13">
        <f t="shared" ref="O18:O21" si="12">CEILING(E18,24)</f>
        <v>0</v>
      </c>
      <c r="P18" s="13">
        <f t="shared" ref="P18:P21" si="13">CEILING(E18,30)</f>
        <v>0</v>
      </c>
    </row>
    <row r="19" spans="2:19" s="25" customFormat="1" ht="16" customHeight="1" x14ac:dyDescent="0.2">
      <c r="B19" s="195" t="s">
        <v>44</v>
      </c>
      <c r="C19" s="196"/>
      <c r="D19" s="24" t="b">
        <v>0</v>
      </c>
      <c r="E19" s="75">
        <f>IF(D19,B3/1667,0)</f>
        <v>0</v>
      </c>
      <c r="F19" s="161"/>
      <c r="G19" s="84">
        <v>67</v>
      </c>
      <c r="H19" s="85"/>
      <c r="I19" s="133">
        <f t="shared" si="11"/>
        <v>0</v>
      </c>
      <c r="J19" s="77">
        <f>I19/B3</f>
        <v>0</v>
      </c>
      <c r="K19" s="86"/>
      <c r="L19" s="13">
        <f t="shared" si="6"/>
        <v>0</v>
      </c>
      <c r="M19" s="13">
        <f t="shared" si="7"/>
        <v>0</v>
      </c>
      <c r="N19" s="13">
        <f t="shared" si="8"/>
        <v>0</v>
      </c>
      <c r="O19" s="13">
        <f>CEILING(E19,24)</f>
        <v>0</v>
      </c>
      <c r="P19" s="13">
        <f t="shared" si="13"/>
        <v>0</v>
      </c>
    </row>
    <row r="20" spans="2:19" s="25" customFormat="1" ht="16" customHeight="1" x14ac:dyDescent="0.2">
      <c r="B20" s="195" t="s">
        <v>45</v>
      </c>
      <c r="C20" s="196"/>
      <c r="D20" s="24" t="b">
        <v>1</v>
      </c>
      <c r="E20" s="75">
        <f>IF(D20,B3/1667,0)</f>
        <v>11.997600479904019</v>
      </c>
      <c r="F20" s="161"/>
      <c r="G20" s="84">
        <v>67</v>
      </c>
      <c r="H20" s="85"/>
      <c r="I20" s="133">
        <f t="shared" si="11"/>
        <v>803.83923215356924</v>
      </c>
      <c r="J20" s="77">
        <f>I20/B3</f>
        <v>4.0191961607678461E-2</v>
      </c>
      <c r="K20" s="86"/>
      <c r="L20" s="13">
        <f t="shared" si="6"/>
        <v>18</v>
      </c>
      <c r="M20" s="13">
        <f t="shared" si="7"/>
        <v>12</v>
      </c>
      <c r="N20" s="13">
        <f t="shared" si="8"/>
        <v>18</v>
      </c>
      <c r="O20" s="13">
        <f t="shared" si="12"/>
        <v>24</v>
      </c>
      <c r="P20" s="13">
        <f t="shared" si="13"/>
        <v>30</v>
      </c>
    </row>
    <row r="21" spans="2:19" s="28" customFormat="1" ht="17" customHeight="1" thickBot="1" x14ac:dyDescent="0.25">
      <c r="B21" s="195" t="s">
        <v>46</v>
      </c>
      <c r="C21" s="196"/>
      <c r="D21" s="27" t="b">
        <v>0</v>
      </c>
      <c r="E21" s="75">
        <f>IF(D21,B3/1667,0)</f>
        <v>0</v>
      </c>
      <c r="F21" s="159"/>
      <c r="G21" s="63">
        <v>67</v>
      </c>
      <c r="H21" s="87"/>
      <c r="I21" s="133">
        <f t="shared" si="11"/>
        <v>0</v>
      </c>
      <c r="J21" s="78">
        <f>I21/B3</f>
        <v>0</v>
      </c>
      <c r="K21" s="88"/>
      <c r="L21" s="16">
        <f t="shared" si="6"/>
        <v>0</v>
      </c>
      <c r="M21" s="16">
        <f t="shared" si="7"/>
        <v>0</v>
      </c>
      <c r="N21" s="16">
        <f t="shared" si="8"/>
        <v>0</v>
      </c>
      <c r="O21" s="16">
        <f t="shared" si="12"/>
        <v>0</v>
      </c>
      <c r="P21" s="16">
        <f t="shared" si="13"/>
        <v>0</v>
      </c>
      <c r="R21" s="30"/>
    </row>
    <row r="22" spans="2:19" s="28" customFormat="1" ht="19" customHeight="1" thickBot="1" x14ac:dyDescent="0.25">
      <c r="B22" s="89" t="s">
        <v>23</v>
      </c>
      <c r="C22" s="90"/>
      <c r="D22" s="167"/>
      <c r="E22" s="90"/>
      <c r="F22" s="137"/>
      <c r="G22" s="91"/>
      <c r="H22" s="90"/>
      <c r="I22" s="90"/>
      <c r="J22" s="92"/>
      <c r="K22" s="90"/>
      <c r="L22" s="212" t="s">
        <v>23</v>
      </c>
      <c r="M22" s="212"/>
      <c r="N22" s="212"/>
      <c r="O22" s="212"/>
      <c r="P22" s="212"/>
    </row>
    <row r="23" spans="2:19" s="28" customFormat="1" ht="17" thickBot="1" x14ac:dyDescent="0.25">
      <c r="B23" s="197" t="s">
        <v>50</v>
      </c>
      <c r="C23" s="198"/>
      <c r="D23" s="168" t="b">
        <v>0</v>
      </c>
      <c r="E23" s="93">
        <f>IF(D23,B3/500,0)</f>
        <v>0</v>
      </c>
      <c r="F23" s="162"/>
      <c r="G23" s="63">
        <v>18.989999999999998</v>
      </c>
      <c r="H23" s="52"/>
      <c r="I23" s="133">
        <f>IF(D23=TRUE,(E23+F23)*G23,0)</f>
        <v>0</v>
      </c>
      <c r="J23" s="94">
        <f>I23/B3</f>
        <v>0</v>
      </c>
      <c r="K23" s="88"/>
      <c r="L23" s="32">
        <f t="shared" si="6"/>
        <v>0</v>
      </c>
      <c r="M23" s="32">
        <f>CEILING(E23,12)</f>
        <v>0</v>
      </c>
      <c r="N23" s="32">
        <f t="shared" si="8"/>
        <v>0</v>
      </c>
      <c r="O23" s="32">
        <f>CEILING(E23,24)</f>
        <v>0</v>
      </c>
      <c r="P23" s="32">
        <f>CEILING(E23,30)</f>
        <v>0</v>
      </c>
    </row>
    <row r="24" spans="2:19" ht="19" customHeight="1" thickBot="1" x14ac:dyDescent="0.25">
      <c r="B24" s="95" t="s">
        <v>24</v>
      </c>
      <c r="C24" s="96"/>
      <c r="D24" s="33"/>
      <c r="E24" s="97"/>
      <c r="F24" s="138"/>
      <c r="G24" s="98"/>
      <c r="H24" s="96"/>
      <c r="I24" s="98"/>
      <c r="J24" s="99"/>
      <c r="K24" s="96"/>
      <c r="L24" s="211" t="s">
        <v>24</v>
      </c>
      <c r="M24" s="211"/>
      <c r="N24" s="211"/>
      <c r="O24" s="211"/>
      <c r="P24" s="211"/>
      <c r="S24" s="28"/>
    </row>
    <row r="25" spans="2:19" s="28" customFormat="1" ht="19" customHeight="1" thickBot="1" x14ac:dyDescent="0.25">
      <c r="B25" s="214" t="s">
        <v>51</v>
      </c>
      <c r="C25" s="215"/>
      <c r="D25" s="35" t="b">
        <v>0</v>
      </c>
      <c r="E25" s="100">
        <f>IF(D25,B3/555,0)</f>
        <v>0</v>
      </c>
      <c r="F25" s="163"/>
      <c r="G25" s="101">
        <v>18.989999999999998</v>
      </c>
      <c r="H25" s="102"/>
      <c r="I25" s="134">
        <f t="shared" si="11"/>
        <v>0</v>
      </c>
      <c r="J25" s="103">
        <f>I25/B3</f>
        <v>0</v>
      </c>
      <c r="K25" s="88"/>
      <c r="L25" s="36">
        <f>CEILING(E25,9)</f>
        <v>0</v>
      </c>
      <c r="M25" s="36">
        <f t="shared" si="7"/>
        <v>0</v>
      </c>
      <c r="N25" s="36">
        <f t="shared" si="8"/>
        <v>0</v>
      </c>
      <c r="O25" s="36">
        <f>CEILING(E25,24)</f>
        <v>0</v>
      </c>
      <c r="P25" s="36">
        <f>CEILING(E25,30)</f>
        <v>0</v>
      </c>
    </row>
    <row r="26" spans="2:19" s="28" customFormat="1" ht="6" customHeight="1" x14ac:dyDescent="0.2">
      <c r="B26" s="139"/>
      <c r="C26" s="140"/>
      <c r="D26" s="141"/>
      <c r="E26" s="142"/>
      <c r="F26" s="140"/>
      <c r="G26" s="140"/>
      <c r="H26" s="140"/>
      <c r="I26" s="148"/>
      <c r="J26" s="143"/>
      <c r="K26" s="88"/>
    </row>
    <row r="27" spans="2:19" s="25" customFormat="1" ht="19" customHeight="1" x14ac:dyDescent="0.2">
      <c r="B27" s="104" t="s">
        <v>26</v>
      </c>
      <c r="C27" s="85"/>
      <c r="D27" s="144"/>
      <c r="E27" s="145" t="s">
        <v>27</v>
      </c>
      <c r="F27" s="85"/>
      <c r="G27" s="146" t="s">
        <v>28</v>
      </c>
      <c r="H27" s="85"/>
      <c r="I27" s="149"/>
      <c r="J27" s="105"/>
      <c r="K27" s="86"/>
    </row>
    <row r="28" spans="2:19" s="25" customFormat="1" ht="21" customHeight="1" x14ac:dyDescent="0.2">
      <c r="B28" s="216"/>
      <c r="C28" s="217"/>
      <c r="D28" s="217"/>
      <c r="E28" s="153"/>
      <c r="F28" s="154"/>
      <c r="G28" s="171"/>
      <c r="H28" s="147"/>
      <c r="I28" s="149">
        <f>+E28*G28</f>
        <v>0</v>
      </c>
      <c r="J28" s="105"/>
      <c r="K28" s="86"/>
    </row>
    <row r="29" spans="2:19" s="25" customFormat="1" x14ac:dyDescent="0.2">
      <c r="B29" s="216"/>
      <c r="C29" s="217"/>
      <c r="D29" s="217"/>
      <c r="E29" s="153"/>
      <c r="F29" s="154"/>
      <c r="G29" s="155"/>
      <c r="H29" s="147"/>
      <c r="I29" s="149">
        <f>+E29*G29</f>
        <v>0</v>
      </c>
      <c r="J29" s="105"/>
      <c r="K29" s="86"/>
    </row>
    <row r="30" spans="2:19" s="25" customFormat="1" x14ac:dyDescent="0.2">
      <c r="B30" s="216"/>
      <c r="C30" s="217"/>
      <c r="D30" s="217"/>
      <c r="E30" s="153"/>
      <c r="F30" s="154"/>
      <c r="G30" s="155"/>
      <c r="H30" s="147"/>
      <c r="I30" s="149">
        <f>+E30*G30</f>
        <v>0</v>
      </c>
      <c r="J30" s="105"/>
      <c r="K30" s="86"/>
    </row>
    <row r="31" spans="2:19" s="25" customFormat="1" x14ac:dyDescent="0.2">
      <c r="B31" s="216"/>
      <c r="C31" s="217"/>
      <c r="D31" s="217"/>
      <c r="E31" s="153"/>
      <c r="F31" s="154"/>
      <c r="G31" s="155"/>
      <c r="H31" s="147"/>
      <c r="I31" s="149">
        <f>+E31*G31</f>
        <v>0</v>
      </c>
      <c r="J31" s="105"/>
      <c r="K31" s="86"/>
    </row>
    <row r="32" spans="2:19" x14ac:dyDescent="0.2">
      <c r="B32" s="216"/>
      <c r="C32" s="217"/>
      <c r="D32" s="217"/>
      <c r="E32" s="153"/>
      <c r="F32" s="154"/>
      <c r="G32" s="155"/>
      <c r="H32" s="147"/>
      <c r="I32" s="149">
        <f>+E32*G32</f>
        <v>0</v>
      </c>
      <c r="J32" s="55"/>
      <c r="K32" s="49"/>
      <c r="L32" s="49"/>
      <c r="M32" s="49"/>
      <c r="N32" s="49"/>
      <c r="O32" s="49"/>
      <c r="P32" s="49"/>
      <c r="Q32" s="49"/>
      <c r="R32" s="49"/>
      <c r="S32" s="49"/>
    </row>
    <row r="33" spans="2:19" ht="20" thickBot="1" x14ac:dyDescent="0.3">
      <c r="B33" s="106"/>
      <c r="C33" s="52"/>
      <c r="D33" s="52"/>
      <c r="E33" s="52"/>
      <c r="F33" s="52"/>
      <c r="G33" s="200" t="s">
        <v>31</v>
      </c>
      <c r="H33" s="201"/>
      <c r="I33" s="150">
        <f>SUM(I7:I32)</f>
        <v>4762.9503432646807</v>
      </c>
      <c r="J33" s="109"/>
      <c r="K33" s="49"/>
      <c r="L33" s="49"/>
      <c r="M33" s="49"/>
      <c r="N33" s="49"/>
      <c r="O33" s="49"/>
      <c r="P33" s="49"/>
      <c r="Q33" s="49"/>
      <c r="R33" s="49"/>
      <c r="S33" s="49"/>
    </row>
    <row r="34" spans="2:19" ht="31" customHeight="1" thickBot="1" x14ac:dyDescent="0.25">
      <c r="B34" s="202" t="s">
        <v>33</v>
      </c>
      <c r="C34" s="203"/>
      <c r="D34" s="203"/>
      <c r="E34" s="203"/>
      <c r="F34" s="204"/>
      <c r="G34" s="205" t="s">
        <v>32</v>
      </c>
      <c r="H34" s="206"/>
      <c r="I34" s="207"/>
      <c r="J34" s="107">
        <f>IF(ISERROR((+I33/B3)),0,(+I33/B3))</f>
        <v>0.23814751716323404</v>
      </c>
      <c r="K34" s="108"/>
      <c r="L34" s="49"/>
      <c r="M34" s="49"/>
      <c r="N34" s="49"/>
      <c r="O34" s="49"/>
      <c r="P34" s="49"/>
      <c r="Q34" s="49"/>
      <c r="R34" s="49"/>
      <c r="S34" s="49"/>
    </row>
    <row r="39" spans="2:19" x14ac:dyDescent="0.2">
      <c r="C39" s="46"/>
      <c r="E39" s="46"/>
    </row>
    <row r="50" spans="3:5" x14ac:dyDescent="0.2">
      <c r="E50" s="47"/>
    </row>
    <row r="51" spans="3:5" ht="19" x14ac:dyDescent="0.2">
      <c r="C51" s="48"/>
      <c r="E51" s="47"/>
    </row>
  </sheetData>
  <sheetProtection algorithmName="SHA-512" hashValue="FZpQm1b6HvOOdFpSgiZT1VcH9wlyA1A9n6gVa0oyq/+yAbasqvWM+KSOpuChdsDxbY+G1bRCY8GdyGy3enrfwA==" saltValue="glIQoFLMhAveBoWO75WrJQ==" spinCount="100000" sheet="1" formatCells="0"/>
  <mergeCells count="33">
    <mergeCell ref="G33:H33"/>
    <mergeCell ref="B34:F34"/>
    <mergeCell ref="G34:I34"/>
    <mergeCell ref="B9:D9"/>
    <mergeCell ref="L24:P24"/>
    <mergeCell ref="L22:P22"/>
    <mergeCell ref="L16:P16"/>
    <mergeCell ref="B25:C25"/>
    <mergeCell ref="B28:D28"/>
    <mergeCell ref="B29:D29"/>
    <mergeCell ref="B30:D30"/>
    <mergeCell ref="B31:D31"/>
    <mergeCell ref="B32:D32"/>
    <mergeCell ref="B19:C19"/>
    <mergeCell ref="B20:C20"/>
    <mergeCell ref="B21:C21"/>
    <mergeCell ref="B23:C23"/>
    <mergeCell ref="B13:C13"/>
    <mergeCell ref="B14:C14"/>
    <mergeCell ref="B15:C15"/>
    <mergeCell ref="B17:C17"/>
    <mergeCell ref="B18:C18"/>
    <mergeCell ref="B6:D6"/>
    <mergeCell ref="G6:H6"/>
    <mergeCell ref="B7:D7"/>
    <mergeCell ref="L11:P11"/>
    <mergeCell ref="B12:C12"/>
    <mergeCell ref="L5:P5"/>
    <mergeCell ref="B1:J1"/>
    <mergeCell ref="B2:C2"/>
    <mergeCell ref="B3:C3"/>
    <mergeCell ref="B4:C4"/>
    <mergeCell ref="I5:J5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locked="0" defaultSize="0" autoFill="0" autoLine="0" autoPict="0" altText="">
                <anchor moveWithCells="1">
                  <from>
                    <xdr:col>3</xdr:col>
                    <xdr:colOff>317500</xdr:colOff>
                    <xdr:row>10</xdr:row>
                    <xdr:rowOff>228600</xdr:rowOff>
                  </from>
                  <to>
                    <xdr:col>4</xdr:col>
                    <xdr:colOff>203200</xdr:colOff>
                    <xdr:row>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locked="0" defaultSize="0" autoFill="0" autoLine="0" autoPict="0" altText="">
                <anchor moveWithCells="1">
                  <from>
                    <xdr:col>3</xdr:col>
                    <xdr:colOff>317500</xdr:colOff>
                    <xdr:row>11</xdr:row>
                    <xdr:rowOff>165100</xdr:rowOff>
                  </from>
                  <to>
                    <xdr:col>4</xdr:col>
                    <xdr:colOff>279400</xdr:colOff>
                    <xdr:row>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locked="0" defaultSize="0" autoFill="0" autoLine="0" autoPict="0">
                <anchor moveWithCells="1">
                  <from>
                    <xdr:col>3</xdr:col>
                    <xdr:colOff>317500</xdr:colOff>
                    <xdr:row>13</xdr:row>
                    <xdr:rowOff>165100</xdr:rowOff>
                  </from>
                  <to>
                    <xdr:col>4</xdr:col>
                    <xdr:colOff>254000</xdr:colOff>
                    <xdr:row>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locked="0" defaultSize="0" autoFill="0" autoLine="0" autoPict="0">
                <anchor moveWithCells="1">
                  <from>
                    <xdr:col>3</xdr:col>
                    <xdr:colOff>317500</xdr:colOff>
                    <xdr:row>13</xdr:row>
                    <xdr:rowOff>177800</xdr:rowOff>
                  </from>
                  <to>
                    <xdr:col>4</xdr:col>
                    <xdr:colOff>279400</xdr:colOff>
                    <xdr:row>15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locked="0" defaultSize="0" autoFill="0" autoLine="0" autoPict="0">
                <anchor moveWithCells="1">
                  <from>
                    <xdr:col>3</xdr:col>
                    <xdr:colOff>317500</xdr:colOff>
                    <xdr:row>15</xdr:row>
                    <xdr:rowOff>215900</xdr:rowOff>
                  </from>
                  <to>
                    <xdr:col>4</xdr:col>
                    <xdr:colOff>279400</xdr:colOff>
                    <xdr:row>17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locked="0" defaultSize="0" autoFill="0" autoLine="0" autoPict="0">
                <anchor moveWithCells="1">
                  <from>
                    <xdr:col>3</xdr:col>
                    <xdr:colOff>317500</xdr:colOff>
                    <xdr:row>16</xdr:row>
                    <xdr:rowOff>165100</xdr:rowOff>
                  </from>
                  <to>
                    <xdr:col>4</xdr:col>
                    <xdr:colOff>203200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locked="0" defaultSize="0" autoFill="0" autoLine="0" autoPict="0">
                <anchor moveWithCells="1">
                  <from>
                    <xdr:col>3</xdr:col>
                    <xdr:colOff>317500</xdr:colOff>
                    <xdr:row>18</xdr:row>
                    <xdr:rowOff>0</xdr:rowOff>
                  </from>
                  <to>
                    <xdr:col>4</xdr:col>
                    <xdr:colOff>254000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locked="0" defaultSize="0" autoFill="0" autoLine="0" autoPict="0">
                <anchor moveWithCells="1">
                  <from>
                    <xdr:col>3</xdr:col>
                    <xdr:colOff>317500</xdr:colOff>
                    <xdr:row>18</xdr:row>
                    <xdr:rowOff>190500</xdr:rowOff>
                  </from>
                  <to>
                    <xdr:col>4</xdr:col>
                    <xdr:colOff>254000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locked="0" defaultSize="0" autoFill="0" autoLine="0" autoPict="0">
                <anchor moveWithCells="1">
                  <from>
                    <xdr:col>3</xdr:col>
                    <xdr:colOff>330200</xdr:colOff>
                    <xdr:row>19</xdr:row>
                    <xdr:rowOff>177800</xdr:rowOff>
                  </from>
                  <to>
                    <xdr:col>4</xdr:col>
                    <xdr:colOff>254000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locked="0" defaultSize="0" autoFill="0" autoLine="0" autoPict="0">
                <anchor moveWithCells="1">
                  <from>
                    <xdr:col>3</xdr:col>
                    <xdr:colOff>317500</xdr:colOff>
                    <xdr:row>24</xdr:row>
                    <xdr:rowOff>38100</xdr:rowOff>
                  </from>
                  <to>
                    <xdr:col>4</xdr:col>
                    <xdr:colOff>203200</xdr:colOff>
                    <xdr:row>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locked="0" defaultSize="0" autoFill="0" autoLine="0" autoPict="0">
                <anchor moveWithCells="1">
                  <from>
                    <xdr:col>3</xdr:col>
                    <xdr:colOff>317500</xdr:colOff>
                    <xdr:row>21</xdr:row>
                    <xdr:rowOff>228600</xdr:rowOff>
                  </from>
                  <to>
                    <xdr:col>4</xdr:col>
                    <xdr:colOff>228600</xdr:colOff>
                    <xdr:row>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locked="0" defaultSize="0" autoFill="0" autoLine="0" autoPict="0">
                <anchor moveWithCells="1">
                  <from>
                    <xdr:col>3</xdr:col>
                    <xdr:colOff>317500</xdr:colOff>
                    <xdr:row>12</xdr:row>
                    <xdr:rowOff>190500</xdr:rowOff>
                  </from>
                  <to>
                    <xdr:col>4</xdr:col>
                    <xdr:colOff>279400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locked="0" defaultSize="0" autoFill="0" autoLine="0" autoPict="0">
                <anchor moveWithCells="1">
                  <from>
                    <xdr:col>3</xdr:col>
                    <xdr:colOff>342900</xdr:colOff>
                    <xdr:row>8</xdr:row>
                    <xdr:rowOff>114300</xdr:rowOff>
                  </from>
                  <to>
                    <xdr:col>4</xdr:col>
                    <xdr:colOff>203200</xdr:colOff>
                    <xdr:row>10</xdr:row>
                    <xdr:rowOff>88900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927BD-7D99-CC40-90B6-D6C8C740F29C}">
  <dimension ref="B1:AA51"/>
  <sheetViews>
    <sheetView tabSelected="1" zoomScale="112" workbookViewId="0">
      <selection activeCell="S27" sqref="S27"/>
    </sheetView>
  </sheetViews>
  <sheetFormatPr baseColWidth="10" defaultColWidth="8.83203125" defaultRowHeight="16" x14ac:dyDescent="0.2"/>
  <cols>
    <col min="1" max="1" width="2.6640625" customWidth="1"/>
    <col min="2" max="2" width="17.6640625" customWidth="1"/>
    <col min="3" max="3" width="16.5" customWidth="1"/>
    <col min="4" max="4" width="5.1640625" customWidth="1"/>
    <col min="5" max="5" width="20.33203125" customWidth="1"/>
    <col min="6" max="6" width="6.1640625" customWidth="1"/>
    <col min="7" max="7" width="12.5" customWidth="1"/>
    <col min="8" max="8" width="1.5" customWidth="1"/>
    <col min="9" max="9" width="17.1640625" customWidth="1"/>
    <col min="12" max="14" width="7.33203125" customWidth="1"/>
    <col min="15" max="16" width="7.1640625" customWidth="1"/>
    <col min="17" max="17" width="20.6640625" customWidth="1"/>
    <col min="18" max="19" width="14.6640625" customWidth="1"/>
    <col min="20" max="20" width="13.6640625" customWidth="1"/>
    <col min="21" max="21" width="18.5" customWidth="1"/>
    <col min="22" max="23" width="11.5" customWidth="1"/>
    <col min="25" max="25" width="12.33203125" customWidth="1"/>
  </cols>
  <sheetData>
    <row r="1" spans="2:27" ht="48" customHeight="1" thickBot="1" x14ac:dyDescent="0.3">
      <c r="B1" s="218" t="s">
        <v>52</v>
      </c>
      <c r="C1" s="219"/>
      <c r="D1" s="219"/>
      <c r="E1" s="219"/>
      <c r="F1" s="219"/>
      <c r="G1" s="219"/>
      <c r="H1" s="219"/>
      <c r="I1" s="219"/>
      <c r="J1" s="220"/>
      <c r="K1" s="49"/>
      <c r="L1" s="49"/>
      <c r="M1" s="49"/>
      <c r="N1" s="49"/>
      <c r="O1" s="49"/>
      <c r="P1" s="49"/>
      <c r="Q1" s="110" t="s">
        <v>35</v>
      </c>
      <c r="R1" s="111" t="s">
        <v>34</v>
      </c>
      <c r="S1" s="112" t="s">
        <v>36</v>
      </c>
      <c r="Y1" s="1"/>
      <c r="AA1" s="2"/>
    </row>
    <row r="2" spans="2:27" ht="21" customHeight="1" thickBot="1" x14ac:dyDescent="0.3">
      <c r="B2" s="178" t="s">
        <v>0</v>
      </c>
      <c r="C2" s="179"/>
      <c r="D2" s="50"/>
      <c r="E2" s="51" t="s">
        <v>1</v>
      </c>
      <c r="F2" s="50"/>
      <c r="G2" s="52"/>
      <c r="H2" s="52"/>
      <c r="I2" s="52"/>
      <c r="J2" s="53"/>
      <c r="K2" s="49"/>
      <c r="L2" s="49"/>
      <c r="M2" s="49"/>
      <c r="N2" s="49"/>
      <c r="O2" s="49"/>
      <c r="P2" s="49"/>
      <c r="Q2" s="113">
        <f>B3/10.7639</f>
        <v>1858.0625981289311</v>
      </c>
      <c r="R2" s="114">
        <f>B5*10.7639</f>
        <v>26.909749999999999</v>
      </c>
      <c r="S2" s="115">
        <f>E5*10.7639</f>
        <v>4.1560184672719549</v>
      </c>
      <c r="Y2" s="3"/>
    </row>
    <row r="3" spans="2:27" ht="25" customHeight="1" thickBot="1" x14ac:dyDescent="0.25">
      <c r="B3" s="180">
        <v>20000</v>
      </c>
      <c r="C3" s="181"/>
      <c r="D3" s="52"/>
      <c r="E3" s="169">
        <f>B3*B5</f>
        <v>50000</v>
      </c>
      <c r="F3" s="52"/>
      <c r="G3" s="52"/>
      <c r="H3" s="52"/>
      <c r="I3" s="52"/>
      <c r="J3" s="55"/>
      <c r="K3" s="49"/>
      <c r="L3" s="49"/>
      <c r="M3" s="49"/>
      <c r="N3" s="49"/>
      <c r="O3" s="49"/>
      <c r="P3" s="49"/>
      <c r="Q3" s="49"/>
      <c r="R3" s="49"/>
      <c r="S3" s="49"/>
      <c r="Y3" s="4"/>
      <c r="AA3" s="5"/>
    </row>
    <row r="4" spans="2:27" ht="35" thickBot="1" x14ac:dyDescent="0.25">
      <c r="B4" s="182" t="s">
        <v>2</v>
      </c>
      <c r="C4" s="183"/>
      <c r="D4" s="52"/>
      <c r="E4" s="56" t="s">
        <v>3</v>
      </c>
      <c r="F4" s="52"/>
      <c r="G4" s="52"/>
      <c r="H4" s="52"/>
      <c r="I4" s="52"/>
      <c r="J4" s="55"/>
      <c r="K4" s="49"/>
      <c r="L4" s="49"/>
      <c r="M4" s="49"/>
      <c r="N4" s="49"/>
      <c r="O4" s="49"/>
      <c r="P4" s="49"/>
      <c r="Q4" s="49"/>
      <c r="R4" s="49"/>
      <c r="S4" s="49"/>
      <c r="Y4" s="3"/>
    </row>
    <row r="5" spans="2:27" ht="32" customHeight="1" thickBot="1" x14ac:dyDescent="0.3">
      <c r="B5" s="151">
        <v>2.5</v>
      </c>
      <c r="C5" s="57"/>
      <c r="D5" s="52"/>
      <c r="E5" s="58">
        <f>SUM(J7:J25)</f>
        <v>0.38610712355855731</v>
      </c>
      <c r="F5" s="52"/>
      <c r="G5" s="52"/>
      <c r="H5" s="52"/>
      <c r="I5" s="184" t="s">
        <v>4</v>
      </c>
      <c r="J5" s="185"/>
      <c r="K5" s="49"/>
      <c r="L5" s="172" t="s">
        <v>5</v>
      </c>
      <c r="M5" s="173"/>
      <c r="N5" s="173"/>
      <c r="O5" s="173"/>
      <c r="P5" s="174"/>
      <c r="Q5" s="6" t="s">
        <v>6</v>
      </c>
      <c r="R5" s="221" t="s">
        <v>7</v>
      </c>
      <c r="S5" s="222"/>
    </row>
    <row r="6" spans="2:27" ht="73" customHeight="1" thickBot="1" x14ac:dyDescent="0.25">
      <c r="B6" s="186" t="s">
        <v>8</v>
      </c>
      <c r="C6" s="187"/>
      <c r="D6" s="188"/>
      <c r="E6" s="59" t="s">
        <v>9</v>
      </c>
      <c r="F6" s="60" t="s">
        <v>10</v>
      </c>
      <c r="G6" s="189" t="s">
        <v>11</v>
      </c>
      <c r="H6" s="190"/>
      <c r="I6" s="132" t="s">
        <v>12</v>
      </c>
      <c r="J6" s="61" t="s">
        <v>13</v>
      </c>
      <c r="K6" s="49"/>
      <c r="L6" s="7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152">
        <v>25</v>
      </c>
      <c r="R6" s="9" t="s">
        <v>19</v>
      </c>
      <c r="S6" s="9" t="s">
        <v>20</v>
      </c>
    </row>
    <row r="7" spans="2:27" x14ac:dyDescent="0.2">
      <c r="B7" s="191" t="s">
        <v>37</v>
      </c>
      <c r="C7" s="192"/>
      <c r="D7" s="193"/>
      <c r="E7" s="62">
        <f>+B3/6000</f>
        <v>3.3333333333333335</v>
      </c>
      <c r="F7" s="156"/>
      <c r="G7" s="63">
        <v>575.35</v>
      </c>
      <c r="H7" s="52"/>
      <c r="I7" s="133">
        <f>(E7+F7)*G7</f>
        <v>1917.8333333333335</v>
      </c>
      <c r="J7" s="64">
        <f>I7/B3</f>
        <v>9.5891666666666681E-2</v>
      </c>
      <c r="K7" s="49"/>
      <c r="L7" s="10">
        <f>CEILING(E7,1)</f>
        <v>4</v>
      </c>
      <c r="M7" s="10">
        <f>CEILING(E7,1)</f>
        <v>4</v>
      </c>
      <c r="N7" s="10">
        <f>CEILING(E7,1)</f>
        <v>4</v>
      </c>
      <c r="O7" s="10">
        <f>CEILING(E7,1)</f>
        <v>4</v>
      </c>
      <c r="P7" s="10">
        <f>CEILING(E7,1)</f>
        <v>4</v>
      </c>
      <c r="Q7" s="11"/>
      <c r="R7" s="12"/>
      <c r="S7" s="12"/>
    </row>
    <row r="8" spans="2:27" x14ac:dyDescent="0.2">
      <c r="B8" s="65" t="s">
        <v>38</v>
      </c>
      <c r="C8" s="66"/>
      <c r="D8" s="67"/>
      <c r="E8" s="62">
        <f>+B3/2000</f>
        <v>10</v>
      </c>
      <c r="F8" s="157"/>
      <c r="G8" s="63">
        <v>126.35</v>
      </c>
      <c r="H8" s="52"/>
      <c r="I8" s="133">
        <f>(E8+F8)*G8</f>
        <v>1263.5</v>
      </c>
      <c r="J8" s="68">
        <f>I8/B3</f>
        <v>6.3174999999999995E-2</v>
      </c>
      <c r="K8" s="49"/>
      <c r="L8" s="13">
        <f t="shared" ref="L8:L10" si="0">CEILING(E8,1)</f>
        <v>10</v>
      </c>
      <c r="M8" s="13">
        <f t="shared" ref="M8:M10" si="1">CEILING(E8,1)</f>
        <v>10</v>
      </c>
      <c r="N8" s="13">
        <f t="shared" ref="N8:N10" si="2">CEILING(E8,1)</f>
        <v>10</v>
      </c>
      <c r="O8" s="13">
        <f t="shared" ref="O8:O10" si="3">CEILING(E8,1)</f>
        <v>10</v>
      </c>
      <c r="P8" s="13">
        <f t="shared" ref="P8:P10" si="4">CEILING(E8,1)</f>
        <v>10</v>
      </c>
      <c r="Q8" s="11"/>
      <c r="R8" s="14"/>
      <c r="S8" s="14"/>
    </row>
    <row r="9" spans="2:27" x14ac:dyDescent="0.2">
      <c r="B9" s="208" t="s">
        <v>40</v>
      </c>
      <c r="C9" s="209"/>
      <c r="D9" s="210"/>
      <c r="E9" s="62">
        <f>B3/9000</f>
        <v>2.2222222222222223</v>
      </c>
      <c r="F9" s="158"/>
      <c r="G9" s="63">
        <v>350</v>
      </c>
      <c r="H9" s="52"/>
      <c r="I9" s="133">
        <f>(E9+F9)*G9</f>
        <v>777.77777777777783</v>
      </c>
      <c r="J9" s="68">
        <f>I9/B3</f>
        <v>3.888888888888889E-2</v>
      </c>
      <c r="K9" s="49"/>
      <c r="L9" s="13">
        <f t="shared" si="0"/>
        <v>3</v>
      </c>
      <c r="M9" s="13">
        <f t="shared" si="1"/>
        <v>3</v>
      </c>
      <c r="N9" s="13">
        <f t="shared" si="2"/>
        <v>3</v>
      </c>
      <c r="O9" s="13">
        <f t="shared" si="3"/>
        <v>3</v>
      </c>
      <c r="P9" s="13">
        <f t="shared" si="4"/>
        <v>3</v>
      </c>
      <c r="Q9" s="11"/>
      <c r="R9" s="14"/>
      <c r="S9" s="14"/>
    </row>
    <row r="10" spans="2:27" ht="17" thickBot="1" x14ac:dyDescent="0.25">
      <c r="B10" s="164" t="s">
        <v>39</v>
      </c>
      <c r="C10" s="165"/>
      <c r="D10" s="166" t="b">
        <v>1</v>
      </c>
      <c r="E10" s="15">
        <f>IF(D10,B3/3500,0)</f>
        <v>5.7142857142857144</v>
      </c>
      <c r="F10" s="159"/>
      <c r="G10" s="63">
        <v>124.5</v>
      </c>
      <c r="H10" s="52"/>
      <c r="I10" s="133">
        <f>(E10+F10)*G10</f>
        <v>711.42857142857144</v>
      </c>
      <c r="J10" s="69">
        <f>I10/B3</f>
        <v>3.5571428571428573E-2</v>
      </c>
      <c r="K10" s="49"/>
      <c r="L10" s="16">
        <f t="shared" si="0"/>
        <v>6</v>
      </c>
      <c r="M10" s="16">
        <f t="shared" si="1"/>
        <v>6</v>
      </c>
      <c r="N10" s="16">
        <f t="shared" si="2"/>
        <v>6</v>
      </c>
      <c r="O10" s="16">
        <f t="shared" si="3"/>
        <v>6</v>
      </c>
      <c r="P10" s="16">
        <f t="shared" si="4"/>
        <v>6</v>
      </c>
      <c r="Q10" s="11"/>
      <c r="R10" s="14"/>
      <c r="S10" s="14"/>
      <c r="U10" s="17"/>
      <c r="V10" s="17"/>
    </row>
    <row r="11" spans="2:27" ht="19" customHeight="1" thickBot="1" x14ac:dyDescent="0.25">
      <c r="B11" s="70" t="s">
        <v>21</v>
      </c>
      <c r="C11" s="71"/>
      <c r="D11" s="71"/>
      <c r="E11" s="72"/>
      <c r="F11" s="135"/>
      <c r="G11" s="73"/>
      <c r="H11" s="71"/>
      <c r="I11" s="73"/>
      <c r="J11" s="74"/>
      <c r="K11" s="71"/>
      <c r="L11" s="194" t="s">
        <v>21</v>
      </c>
      <c r="M11" s="194"/>
      <c r="N11" s="194"/>
      <c r="O11" s="194"/>
      <c r="P11" s="194"/>
      <c r="Q11" s="18"/>
      <c r="R11" s="116">
        <f>SUM(R12:R15)</f>
        <v>33.333333333333336</v>
      </c>
      <c r="S11" s="117">
        <f>SUM(S12:S15)</f>
        <v>6.666666666666667</v>
      </c>
      <c r="U11" s="17"/>
      <c r="V11" s="17"/>
    </row>
    <row r="12" spans="2:27" x14ac:dyDescent="0.2">
      <c r="B12" s="195" t="s">
        <v>41</v>
      </c>
      <c r="C12" s="196"/>
      <c r="D12" s="19" t="b">
        <v>0</v>
      </c>
      <c r="E12" s="75">
        <f>IF(D12,B3/1667,0)</f>
        <v>0</v>
      </c>
      <c r="F12" s="156"/>
      <c r="G12" s="63">
        <v>69</v>
      </c>
      <c r="H12" s="52"/>
      <c r="I12" s="133">
        <f>IF(D12=TRUE,(E12+F12)*G12,0)</f>
        <v>0</v>
      </c>
      <c r="J12" s="76">
        <f>I12/B3</f>
        <v>0</v>
      </c>
      <c r="K12" s="49"/>
      <c r="L12" s="20">
        <f>CEILING(E12,9)</f>
        <v>0</v>
      </c>
      <c r="M12" s="20">
        <f>CEILING(E12,12)</f>
        <v>0</v>
      </c>
      <c r="N12" s="20">
        <f>CEILING(E12,18)</f>
        <v>0</v>
      </c>
      <c r="O12" s="20">
        <f>CEILING(E12,24)</f>
        <v>0</v>
      </c>
      <c r="P12" s="20">
        <f>CEILING(E12,30)</f>
        <v>0</v>
      </c>
      <c r="Q12" s="21"/>
      <c r="R12" s="118">
        <f>IF(D12,B3/600,0)</f>
        <v>0</v>
      </c>
      <c r="S12" s="118">
        <f>IF(D12,B3/3000,0)</f>
        <v>0</v>
      </c>
      <c r="U12" s="17"/>
      <c r="V12" s="17"/>
    </row>
    <row r="13" spans="2:27" x14ac:dyDescent="0.2">
      <c r="B13" s="195" t="s">
        <v>42</v>
      </c>
      <c r="C13" s="196"/>
      <c r="D13" s="19" t="b">
        <v>0</v>
      </c>
      <c r="E13" s="75">
        <f>IF(D13,B3/1667,0)</f>
        <v>0</v>
      </c>
      <c r="F13" s="158"/>
      <c r="G13" s="63">
        <v>67</v>
      </c>
      <c r="H13" s="52"/>
      <c r="I13" s="133">
        <f t="shared" ref="I13" si="5">IF(D13=TRUE,(E13+F13)*G13,0)</f>
        <v>0</v>
      </c>
      <c r="J13" s="77">
        <f>I13/B3</f>
        <v>0</v>
      </c>
      <c r="K13" s="49"/>
      <c r="L13" s="13">
        <f t="shared" ref="L13:L23" si="6">CEILING(E13,9)</f>
        <v>0</v>
      </c>
      <c r="M13" s="13">
        <f t="shared" ref="M13:M25" si="7">CEILING(E13,12)</f>
        <v>0</v>
      </c>
      <c r="N13" s="13">
        <f t="shared" ref="N13:N25" si="8">CEILING(E13,18)</f>
        <v>0</v>
      </c>
      <c r="O13" s="13">
        <f t="shared" ref="O13:O15" si="9">CEILING(E13,24)</f>
        <v>0</v>
      </c>
      <c r="P13" s="13">
        <f t="shared" ref="P13:P15" si="10">CEILING(E13,30)</f>
        <v>0</v>
      </c>
      <c r="Q13" s="21"/>
      <c r="R13" s="118">
        <f>IF(D13,B3/600,0)</f>
        <v>0</v>
      </c>
      <c r="S13" s="118">
        <f>IF(D13,B3/3000,0)</f>
        <v>0</v>
      </c>
      <c r="U13" s="17"/>
      <c r="V13" s="17"/>
    </row>
    <row r="14" spans="2:27" x14ac:dyDescent="0.2">
      <c r="B14" s="199" t="s">
        <v>43</v>
      </c>
      <c r="C14" s="196"/>
      <c r="D14" s="19" t="b">
        <v>1</v>
      </c>
      <c r="E14" s="75">
        <f>IF(D14,B3/1667,0)</f>
        <v>11.997600479904019</v>
      </c>
      <c r="F14" s="158"/>
      <c r="G14" s="63">
        <v>67</v>
      </c>
      <c r="H14" s="52"/>
      <c r="I14" s="133">
        <f>IF(D14=TRUE,(E14+F14)*G14,0)</f>
        <v>803.83923215356924</v>
      </c>
      <c r="J14" s="77">
        <f>I14/B3</f>
        <v>4.0191961607678461E-2</v>
      </c>
      <c r="K14" s="49"/>
      <c r="L14" s="13">
        <f t="shared" si="6"/>
        <v>18</v>
      </c>
      <c r="M14" s="13">
        <f t="shared" si="7"/>
        <v>12</v>
      </c>
      <c r="N14" s="13">
        <f t="shared" si="8"/>
        <v>18</v>
      </c>
      <c r="O14" s="13">
        <f t="shared" si="9"/>
        <v>24</v>
      </c>
      <c r="P14" s="13">
        <f t="shared" si="10"/>
        <v>30</v>
      </c>
      <c r="Q14" s="21"/>
      <c r="R14" s="118">
        <f>IF(D14,B3/600,0)</f>
        <v>33.333333333333336</v>
      </c>
      <c r="S14" s="118">
        <f>IF(D14,B3/3000,0)</f>
        <v>6.666666666666667</v>
      </c>
      <c r="U14" s="17"/>
      <c r="V14" s="17"/>
    </row>
    <row r="15" spans="2:27" ht="17" thickBot="1" x14ac:dyDescent="0.25">
      <c r="B15" s="195" t="s">
        <v>47</v>
      </c>
      <c r="C15" s="196"/>
      <c r="D15" s="19" t="b">
        <v>0</v>
      </c>
      <c r="E15" s="75">
        <f>IF(D15,B3/555.55,0)</f>
        <v>0</v>
      </c>
      <c r="F15" s="159"/>
      <c r="G15" s="63">
        <v>18.989999999999998</v>
      </c>
      <c r="H15" s="52"/>
      <c r="I15" s="133">
        <f>IF(D15=TRUE,(E15+F15)*G15,0)</f>
        <v>0</v>
      </c>
      <c r="J15" s="78">
        <f>I15/B3</f>
        <v>0</v>
      </c>
      <c r="K15" s="49"/>
      <c r="L15" s="16">
        <f t="shared" si="6"/>
        <v>0</v>
      </c>
      <c r="M15" s="16">
        <f t="shared" si="7"/>
        <v>0</v>
      </c>
      <c r="N15" s="16">
        <f t="shared" si="8"/>
        <v>0</v>
      </c>
      <c r="O15" s="16">
        <f t="shared" si="9"/>
        <v>0</v>
      </c>
      <c r="P15" s="16">
        <f t="shared" si="10"/>
        <v>0</v>
      </c>
      <c r="Q15" s="21"/>
      <c r="R15" s="118">
        <f>IF(D15,B3/600,0)</f>
        <v>0</v>
      </c>
      <c r="S15" s="118">
        <f>IF(D15,B3/3000,0)</f>
        <v>0</v>
      </c>
      <c r="U15" s="17"/>
      <c r="V15" s="17"/>
    </row>
    <row r="16" spans="2:27" ht="19" customHeight="1" thickBot="1" x14ac:dyDescent="0.25">
      <c r="B16" s="79" t="s">
        <v>22</v>
      </c>
      <c r="C16" s="80"/>
      <c r="D16" s="22"/>
      <c r="E16" s="81"/>
      <c r="F16" s="136"/>
      <c r="G16" s="82"/>
      <c r="H16" s="80"/>
      <c r="I16" s="82"/>
      <c r="J16" s="83"/>
      <c r="K16" s="80"/>
      <c r="L16" s="213" t="s">
        <v>22</v>
      </c>
      <c r="M16" s="213"/>
      <c r="N16" s="213"/>
      <c r="O16" s="213"/>
      <c r="P16" s="213"/>
      <c r="Q16" s="23"/>
      <c r="R16" s="119">
        <f>SUM(R17:R21)</f>
        <v>33.333333333333336</v>
      </c>
      <c r="S16" s="120">
        <f>SUM(S17:S21)</f>
        <v>5.5555555555555554</v>
      </c>
      <c r="U16" s="17"/>
      <c r="V16" s="17"/>
    </row>
    <row r="17" spans="2:22" s="25" customFormat="1" ht="14" customHeight="1" x14ac:dyDescent="0.2">
      <c r="B17" s="195" t="s">
        <v>48</v>
      </c>
      <c r="C17" s="196"/>
      <c r="D17" s="24" t="b">
        <v>0</v>
      </c>
      <c r="E17" s="75">
        <f>IF(D17,B3/555.55,0)</f>
        <v>0</v>
      </c>
      <c r="F17" s="160"/>
      <c r="G17" s="84">
        <v>18.989999999999998</v>
      </c>
      <c r="H17" s="85"/>
      <c r="I17" s="133">
        <f t="shared" ref="I17:I25" si="11">IF(D17=TRUE,(E17+F17)*G17,0)</f>
        <v>0</v>
      </c>
      <c r="J17" s="76">
        <f>I17/B3</f>
        <v>0</v>
      </c>
      <c r="K17" s="86"/>
      <c r="L17" s="20">
        <f t="shared" si="6"/>
        <v>0</v>
      </c>
      <c r="M17" s="20">
        <f t="shared" si="7"/>
        <v>0</v>
      </c>
      <c r="N17" s="20">
        <f t="shared" si="8"/>
        <v>0</v>
      </c>
      <c r="O17" s="20">
        <f>CEILING(E17,24)</f>
        <v>0</v>
      </c>
      <c r="P17" s="20">
        <f>CEILING(E17,30)</f>
        <v>0</v>
      </c>
      <c r="Q17" s="26"/>
      <c r="R17" s="118">
        <f>IF(D17,B3/600,0)</f>
        <v>0</v>
      </c>
      <c r="S17" s="118">
        <f>IF(D17,B3/3600,0)</f>
        <v>0</v>
      </c>
    </row>
    <row r="18" spans="2:22" s="25" customFormat="1" ht="15" customHeight="1" x14ac:dyDescent="0.2">
      <c r="B18" s="195" t="s">
        <v>49</v>
      </c>
      <c r="C18" s="196"/>
      <c r="D18" s="24" t="b">
        <v>0</v>
      </c>
      <c r="E18" s="75">
        <f>IF(D18,B3/555.55,0)</f>
        <v>0</v>
      </c>
      <c r="F18" s="161"/>
      <c r="G18" s="84">
        <v>18.989999999999998</v>
      </c>
      <c r="H18" s="85"/>
      <c r="I18" s="133">
        <f t="shared" si="11"/>
        <v>0</v>
      </c>
      <c r="J18" s="77">
        <f>I18/B3</f>
        <v>0</v>
      </c>
      <c r="K18" s="86"/>
      <c r="L18" s="13">
        <f t="shared" si="6"/>
        <v>0</v>
      </c>
      <c r="M18" s="13">
        <f t="shared" si="7"/>
        <v>0</v>
      </c>
      <c r="N18" s="13">
        <f t="shared" si="8"/>
        <v>0</v>
      </c>
      <c r="O18" s="13">
        <f t="shared" ref="O18:O21" si="12">CEILING(E18,24)</f>
        <v>0</v>
      </c>
      <c r="P18" s="13">
        <f t="shared" ref="P18:P21" si="13">CEILING(E18,30)</f>
        <v>0</v>
      </c>
      <c r="Q18" s="26"/>
      <c r="R18" s="118">
        <f>IF(D18,B3/600,0)</f>
        <v>0</v>
      </c>
      <c r="S18" s="118">
        <f>IF(D18,B3/3600,0)</f>
        <v>0</v>
      </c>
    </row>
    <row r="19" spans="2:22" s="25" customFormat="1" ht="16" customHeight="1" x14ac:dyDescent="0.2">
      <c r="B19" s="195" t="s">
        <v>44</v>
      </c>
      <c r="C19" s="196"/>
      <c r="D19" s="24" t="b">
        <v>0</v>
      </c>
      <c r="E19" s="75">
        <f>IF(D19,B3/1667,0)</f>
        <v>0</v>
      </c>
      <c r="F19" s="161"/>
      <c r="G19" s="84">
        <v>67</v>
      </c>
      <c r="H19" s="85"/>
      <c r="I19" s="133">
        <f t="shared" si="11"/>
        <v>0</v>
      </c>
      <c r="J19" s="77">
        <f>I19/B3</f>
        <v>0</v>
      </c>
      <c r="K19" s="86"/>
      <c r="L19" s="13">
        <f t="shared" si="6"/>
        <v>0</v>
      </c>
      <c r="M19" s="13">
        <f t="shared" si="7"/>
        <v>0</v>
      </c>
      <c r="N19" s="13">
        <f t="shared" si="8"/>
        <v>0</v>
      </c>
      <c r="O19" s="13">
        <f>CEILING(E19,24)</f>
        <v>0</v>
      </c>
      <c r="P19" s="13">
        <f t="shared" si="13"/>
        <v>0</v>
      </c>
      <c r="Q19" s="26"/>
      <c r="R19" s="118">
        <f>IF(D19,B3/600,0)</f>
        <v>0</v>
      </c>
      <c r="S19" s="118">
        <f>IF(D19,B3/3600,0)</f>
        <v>0</v>
      </c>
    </row>
    <row r="20" spans="2:22" s="25" customFormat="1" ht="16" customHeight="1" x14ac:dyDescent="0.2">
      <c r="B20" s="195" t="s">
        <v>45</v>
      </c>
      <c r="C20" s="196"/>
      <c r="D20" s="24" t="b">
        <v>1</v>
      </c>
      <c r="E20" s="75">
        <f>IF(D20,B3/1667,0)</f>
        <v>11.997600479904019</v>
      </c>
      <c r="F20" s="161"/>
      <c r="G20" s="84">
        <v>67</v>
      </c>
      <c r="H20" s="85"/>
      <c r="I20" s="133">
        <f t="shared" si="11"/>
        <v>803.83923215356924</v>
      </c>
      <c r="J20" s="77">
        <f>I20/B3</f>
        <v>4.0191961607678461E-2</v>
      </c>
      <c r="K20" s="86"/>
      <c r="L20" s="13">
        <f t="shared" si="6"/>
        <v>18</v>
      </c>
      <c r="M20" s="13">
        <f t="shared" si="7"/>
        <v>12</v>
      </c>
      <c r="N20" s="13">
        <f t="shared" si="8"/>
        <v>18</v>
      </c>
      <c r="O20" s="13">
        <f t="shared" si="12"/>
        <v>24</v>
      </c>
      <c r="P20" s="13">
        <f t="shared" si="13"/>
        <v>30</v>
      </c>
      <c r="Q20" s="26"/>
      <c r="R20" s="118">
        <f>IF(D20,B3/600,0)</f>
        <v>33.333333333333336</v>
      </c>
      <c r="S20" s="118">
        <f>IF(D20,B3/3600,0)</f>
        <v>5.5555555555555554</v>
      </c>
    </row>
    <row r="21" spans="2:22" s="28" customFormat="1" ht="17" customHeight="1" thickBot="1" x14ac:dyDescent="0.25">
      <c r="B21" s="195" t="s">
        <v>46</v>
      </c>
      <c r="C21" s="196"/>
      <c r="D21" s="27" t="b">
        <v>0</v>
      </c>
      <c r="E21" s="75">
        <f>IF(D21,B3/1667,0)</f>
        <v>0</v>
      </c>
      <c r="F21" s="159"/>
      <c r="G21" s="63">
        <v>67</v>
      </c>
      <c r="H21" s="87"/>
      <c r="I21" s="133">
        <f t="shared" si="11"/>
        <v>0</v>
      </c>
      <c r="J21" s="78">
        <f>I21/B3</f>
        <v>0</v>
      </c>
      <c r="K21" s="88"/>
      <c r="L21" s="16">
        <f t="shared" si="6"/>
        <v>0</v>
      </c>
      <c r="M21" s="16">
        <f t="shared" si="7"/>
        <v>0</v>
      </c>
      <c r="N21" s="16">
        <f t="shared" si="8"/>
        <v>0</v>
      </c>
      <c r="O21" s="16">
        <f t="shared" si="12"/>
        <v>0</v>
      </c>
      <c r="P21" s="16">
        <f t="shared" si="13"/>
        <v>0</v>
      </c>
      <c r="Q21" s="29"/>
      <c r="R21" s="118">
        <f>IF(D21,B3/600,0)</f>
        <v>0</v>
      </c>
      <c r="S21" s="118">
        <f>IF(D21,B3/3600,0)</f>
        <v>0</v>
      </c>
      <c r="U21" s="30"/>
    </row>
    <row r="22" spans="2:22" s="28" customFormat="1" ht="19" customHeight="1" thickBot="1" x14ac:dyDescent="0.25">
      <c r="B22" s="89" t="s">
        <v>23</v>
      </c>
      <c r="C22" s="90"/>
      <c r="D22" s="167"/>
      <c r="E22" s="90"/>
      <c r="F22" s="137"/>
      <c r="G22" s="91"/>
      <c r="H22" s="90"/>
      <c r="I22" s="90"/>
      <c r="J22" s="92"/>
      <c r="K22" s="90"/>
      <c r="L22" s="212" t="s">
        <v>23</v>
      </c>
      <c r="M22" s="212"/>
      <c r="N22" s="212"/>
      <c r="O22" s="212"/>
      <c r="P22" s="212"/>
      <c r="Q22" s="31"/>
      <c r="R22" s="121">
        <f>R23</f>
        <v>22.222222222222221</v>
      </c>
      <c r="S22" s="122">
        <f>S23</f>
        <v>3.3333333333333335</v>
      </c>
    </row>
    <row r="23" spans="2:22" s="28" customFormat="1" ht="17" thickBot="1" x14ac:dyDescent="0.25">
      <c r="B23" s="197" t="s">
        <v>50</v>
      </c>
      <c r="C23" s="198"/>
      <c r="D23" s="168" t="b">
        <v>1</v>
      </c>
      <c r="E23" s="93">
        <f>IF(D23,B3/500,0)</f>
        <v>40</v>
      </c>
      <c r="F23" s="162"/>
      <c r="G23" s="63">
        <v>18.989999999999998</v>
      </c>
      <c r="H23" s="52"/>
      <c r="I23" s="133">
        <f>IF(D23=TRUE,(E23+F23)*G23,0)</f>
        <v>759.59999999999991</v>
      </c>
      <c r="J23" s="94">
        <f>I23/B3</f>
        <v>3.7979999999999993E-2</v>
      </c>
      <c r="K23" s="88"/>
      <c r="L23" s="32">
        <f t="shared" si="6"/>
        <v>45</v>
      </c>
      <c r="M23" s="32">
        <f>CEILING(E23,12)</f>
        <v>48</v>
      </c>
      <c r="N23" s="32">
        <f t="shared" si="8"/>
        <v>54</v>
      </c>
      <c r="O23" s="32">
        <f>CEILING(E23,24)</f>
        <v>48</v>
      </c>
      <c r="P23" s="32">
        <f>CEILING(E23,30)</f>
        <v>60</v>
      </c>
      <c r="Q23" s="29"/>
      <c r="R23" s="118">
        <f>IF(D23,B3/900,0)</f>
        <v>22.222222222222221</v>
      </c>
      <c r="S23" s="118">
        <f>IF(D23,B3/6000,0)</f>
        <v>3.3333333333333335</v>
      </c>
    </row>
    <row r="24" spans="2:22" ht="19" customHeight="1" thickBot="1" x14ac:dyDescent="0.25">
      <c r="B24" s="95" t="s">
        <v>24</v>
      </c>
      <c r="C24" s="96"/>
      <c r="D24" s="33"/>
      <c r="E24" s="97"/>
      <c r="F24" s="138"/>
      <c r="G24" s="98"/>
      <c r="H24" s="96"/>
      <c r="I24" s="98"/>
      <c r="J24" s="99"/>
      <c r="K24" s="96"/>
      <c r="L24" s="211" t="s">
        <v>24</v>
      </c>
      <c r="M24" s="211"/>
      <c r="N24" s="211"/>
      <c r="O24" s="211"/>
      <c r="P24" s="211"/>
      <c r="Q24" s="34"/>
      <c r="R24" s="123">
        <f>R25</f>
        <v>22.222222222222221</v>
      </c>
      <c r="S24" s="124">
        <f>S25</f>
        <v>1.015228426395939</v>
      </c>
      <c r="V24" s="28"/>
    </row>
    <row r="25" spans="2:22" s="28" customFormat="1" ht="19" customHeight="1" thickBot="1" x14ac:dyDescent="0.25">
      <c r="B25" s="214" t="s">
        <v>51</v>
      </c>
      <c r="C25" s="215"/>
      <c r="D25" s="35" t="b">
        <v>1</v>
      </c>
      <c r="E25" s="100">
        <f>IF(D25,B3/555,0)</f>
        <v>36.036036036036037</v>
      </c>
      <c r="F25" s="163"/>
      <c r="G25" s="101">
        <v>18.989999999999998</v>
      </c>
      <c r="H25" s="102"/>
      <c r="I25" s="134">
        <f t="shared" si="11"/>
        <v>684.32432432432427</v>
      </c>
      <c r="J25" s="103">
        <f>I25/B3</f>
        <v>3.4216216216216212E-2</v>
      </c>
      <c r="K25" s="88"/>
      <c r="L25" s="36">
        <f>CEILING(E25,9)</f>
        <v>45</v>
      </c>
      <c r="M25" s="36">
        <f t="shared" si="7"/>
        <v>48</v>
      </c>
      <c r="N25" s="36">
        <f t="shared" si="8"/>
        <v>54</v>
      </c>
      <c r="O25" s="36">
        <f>CEILING(E25,24)</f>
        <v>48</v>
      </c>
      <c r="P25" s="36">
        <f>CEILING(E25,30)</f>
        <v>60</v>
      </c>
      <c r="Q25" s="125"/>
      <c r="R25" s="126">
        <f>IF(D25,B3/900,0)</f>
        <v>22.222222222222221</v>
      </c>
      <c r="S25" s="126">
        <f>IF(D25,B3/19700,0)</f>
        <v>1.015228426395939</v>
      </c>
    </row>
    <row r="26" spans="2:22" s="28" customFormat="1" ht="6" customHeight="1" thickBot="1" x14ac:dyDescent="0.25">
      <c r="B26" s="139"/>
      <c r="C26" s="140"/>
      <c r="D26" s="141"/>
      <c r="E26" s="142"/>
      <c r="F26" s="140"/>
      <c r="G26" s="140"/>
      <c r="H26" s="140"/>
      <c r="I26" s="148"/>
      <c r="J26" s="143"/>
      <c r="K26" s="88"/>
      <c r="R26" s="127"/>
      <c r="S26" s="127"/>
    </row>
    <row r="27" spans="2:22" s="25" customFormat="1" ht="19" customHeight="1" thickBot="1" x14ac:dyDescent="0.35">
      <c r="B27" s="104" t="s">
        <v>26</v>
      </c>
      <c r="C27" s="85"/>
      <c r="D27" s="144"/>
      <c r="E27" s="145" t="s">
        <v>27</v>
      </c>
      <c r="F27" s="85"/>
      <c r="G27" s="146" t="s">
        <v>28</v>
      </c>
      <c r="H27" s="85"/>
      <c r="I27" s="149"/>
      <c r="J27" s="105"/>
      <c r="K27" s="86"/>
      <c r="Q27" s="128" t="s">
        <v>25</v>
      </c>
      <c r="R27" s="129">
        <f>R11+R16+R22+R24</f>
        <v>111.11111111111111</v>
      </c>
      <c r="S27" s="129">
        <f>S11+S16+S22+S24</f>
        <v>16.570783981951493</v>
      </c>
    </row>
    <row r="28" spans="2:22" s="25" customFormat="1" ht="21" customHeight="1" thickBot="1" x14ac:dyDescent="0.25">
      <c r="B28" s="216"/>
      <c r="C28" s="217"/>
      <c r="D28" s="217"/>
      <c r="E28" s="153"/>
      <c r="F28" s="154"/>
      <c r="G28" s="155"/>
      <c r="H28" s="147"/>
      <c r="I28" s="149">
        <f>+E28*G28</f>
        <v>0</v>
      </c>
      <c r="J28" s="105"/>
      <c r="K28" s="86"/>
      <c r="Q28" s="130"/>
      <c r="R28" s="28"/>
      <c r="S28" s="131"/>
    </row>
    <row r="29" spans="2:22" s="25" customFormat="1" x14ac:dyDescent="0.2">
      <c r="B29" s="216"/>
      <c r="C29" s="217"/>
      <c r="D29" s="217"/>
      <c r="E29" s="153"/>
      <c r="F29" s="154"/>
      <c r="G29" s="155"/>
      <c r="H29" s="147"/>
      <c r="I29" s="149">
        <f>+E29*G29</f>
        <v>0</v>
      </c>
      <c r="J29" s="105"/>
      <c r="K29" s="86"/>
      <c r="Q29" s="37" t="s">
        <v>29</v>
      </c>
      <c r="R29" s="38">
        <f>R27*Q6</f>
        <v>2777.7777777777778</v>
      </c>
      <c r="S29" s="39">
        <f>S27*Q6</f>
        <v>414.26959954878731</v>
      </c>
    </row>
    <row r="30" spans="2:22" s="25" customFormat="1" x14ac:dyDescent="0.2">
      <c r="B30" s="216"/>
      <c r="C30" s="217"/>
      <c r="D30" s="217"/>
      <c r="E30" s="153"/>
      <c r="F30" s="154"/>
      <c r="G30" s="155"/>
      <c r="H30" s="147"/>
      <c r="I30" s="149">
        <f>+E30*G30</f>
        <v>0</v>
      </c>
      <c r="J30" s="105"/>
      <c r="K30" s="86"/>
      <c r="Q30" s="40" t="s">
        <v>4</v>
      </c>
      <c r="R30" s="41">
        <f>I33</f>
        <v>7722.1424711711452</v>
      </c>
      <c r="S30" s="42">
        <f>I33</f>
        <v>7722.1424711711452</v>
      </c>
    </row>
    <row r="31" spans="2:22" s="25" customFormat="1" ht="17" thickBot="1" x14ac:dyDescent="0.25">
      <c r="B31" s="216"/>
      <c r="C31" s="217"/>
      <c r="D31" s="217"/>
      <c r="E31" s="153"/>
      <c r="F31" s="154"/>
      <c r="G31" s="155"/>
      <c r="H31" s="147"/>
      <c r="I31" s="149">
        <f>+E31*G31</f>
        <v>0</v>
      </c>
      <c r="J31" s="105"/>
      <c r="K31" s="86"/>
      <c r="Q31" s="43" t="s">
        <v>30</v>
      </c>
      <c r="R31" s="44">
        <f>E3-(R29+R30)</f>
        <v>39500.079751051075</v>
      </c>
      <c r="S31" s="45">
        <f>E3-(S29+S30)</f>
        <v>41863.587929280067</v>
      </c>
    </row>
    <row r="32" spans="2:22" x14ac:dyDescent="0.2">
      <c r="B32" s="216"/>
      <c r="C32" s="217"/>
      <c r="D32" s="217"/>
      <c r="E32" s="153"/>
      <c r="F32" s="154"/>
      <c r="G32" s="155"/>
      <c r="H32" s="147"/>
      <c r="I32" s="149">
        <f>+E32*G32</f>
        <v>0</v>
      </c>
      <c r="J32" s="55"/>
      <c r="K32" s="49"/>
      <c r="L32" s="49"/>
      <c r="M32" s="49"/>
      <c r="N32" s="49"/>
      <c r="O32" s="49"/>
      <c r="P32" s="49"/>
      <c r="Q32" s="49"/>
      <c r="R32" s="49"/>
      <c r="S32" s="49"/>
    </row>
    <row r="33" spans="2:19" ht="20" thickBot="1" x14ac:dyDescent="0.3">
      <c r="B33" s="106"/>
      <c r="C33" s="52"/>
      <c r="D33" s="52"/>
      <c r="E33" s="52"/>
      <c r="F33" s="52"/>
      <c r="G33" s="200" t="s">
        <v>31</v>
      </c>
      <c r="H33" s="201"/>
      <c r="I33" s="150">
        <f>SUM(I7:I32)</f>
        <v>7722.1424711711452</v>
      </c>
      <c r="J33" s="109"/>
      <c r="K33" s="49"/>
      <c r="L33" s="49"/>
      <c r="M33" s="49"/>
      <c r="N33" s="49"/>
      <c r="O33" s="49"/>
      <c r="P33" s="49"/>
      <c r="Q33" s="49"/>
      <c r="R33" s="49"/>
      <c r="S33" s="49"/>
    </row>
    <row r="34" spans="2:19" ht="31" customHeight="1" thickBot="1" x14ac:dyDescent="0.25">
      <c r="B34" s="202" t="s">
        <v>33</v>
      </c>
      <c r="C34" s="203"/>
      <c r="D34" s="203"/>
      <c r="E34" s="203"/>
      <c r="F34" s="204"/>
      <c r="G34" s="205" t="s">
        <v>32</v>
      </c>
      <c r="H34" s="206"/>
      <c r="I34" s="207"/>
      <c r="J34" s="107">
        <f>IF(ISERROR((+I33/B3)),0,(+I33/B3))</f>
        <v>0.38610712355855725</v>
      </c>
      <c r="K34" s="108"/>
      <c r="L34" s="49"/>
      <c r="M34" s="49"/>
      <c r="N34" s="49"/>
      <c r="O34" s="49"/>
      <c r="P34" s="49"/>
      <c r="Q34" s="49"/>
      <c r="R34" s="49"/>
      <c r="S34" s="49"/>
    </row>
    <row r="39" spans="2:19" x14ac:dyDescent="0.2">
      <c r="C39" s="46"/>
      <c r="E39" s="46"/>
    </row>
    <row r="50" spans="3:5" x14ac:dyDescent="0.2">
      <c r="E50" s="47"/>
    </row>
    <row r="51" spans="3:5" ht="19" x14ac:dyDescent="0.2">
      <c r="C51" s="48"/>
      <c r="E51" s="47"/>
    </row>
  </sheetData>
  <sheetProtection algorithmName="SHA-512" hashValue="WcEy+ZKVRXtM4k7dgR2OPFXmOLI7Rx2WV6w8ntRWjoemMF7lXuWWhkulBQ8aGUe2ZP/z70FXwh8YPG7schQVPg==" saltValue="RCv8oEPst+ENgZ5mX8FEBg==" spinCount="100000" sheet="1" objects="1" scenarios="1"/>
  <mergeCells count="34">
    <mergeCell ref="B32:D32"/>
    <mergeCell ref="G33:H33"/>
    <mergeCell ref="B34:F34"/>
    <mergeCell ref="G34:I34"/>
    <mergeCell ref="L24:P24"/>
    <mergeCell ref="B25:C25"/>
    <mergeCell ref="B28:D28"/>
    <mergeCell ref="B29:D29"/>
    <mergeCell ref="B31:D31"/>
    <mergeCell ref="B30:D30"/>
    <mergeCell ref="B17:C17"/>
    <mergeCell ref="B18:C18"/>
    <mergeCell ref="B19:C19"/>
    <mergeCell ref="B20:C20"/>
    <mergeCell ref="B21:C21"/>
    <mergeCell ref="B23:C23"/>
    <mergeCell ref="L22:P22"/>
    <mergeCell ref="L11:P11"/>
    <mergeCell ref="B12:C12"/>
    <mergeCell ref="B13:C13"/>
    <mergeCell ref="B14:C14"/>
    <mergeCell ref="B15:C15"/>
    <mergeCell ref="L16:P16"/>
    <mergeCell ref="R5:S5"/>
    <mergeCell ref="B6:D6"/>
    <mergeCell ref="G6:H6"/>
    <mergeCell ref="B7:D7"/>
    <mergeCell ref="B9:D9"/>
    <mergeCell ref="L5:P5"/>
    <mergeCell ref="B1:J1"/>
    <mergeCell ref="B2:C2"/>
    <mergeCell ref="B3:C3"/>
    <mergeCell ref="B4:C4"/>
    <mergeCell ref="I5:J5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Check Box 1">
              <controlPr locked="0" defaultSize="0" autoFill="0" autoLine="0" autoPict="0" altText="">
                <anchor moveWithCells="1">
                  <from>
                    <xdr:col>3</xdr:col>
                    <xdr:colOff>317500</xdr:colOff>
                    <xdr:row>10</xdr:row>
                    <xdr:rowOff>228600</xdr:rowOff>
                  </from>
                  <to>
                    <xdr:col>4</xdr:col>
                    <xdr:colOff>203200</xdr:colOff>
                    <xdr:row>12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Check Box 2">
              <controlPr locked="0" defaultSize="0" autoFill="0" autoLine="0" autoPict="0" altText="">
                <anchor moveWithCells="1">
                  <from>
                    <xdr:col>3</xdr:col>
                    <xdr:colOff>317500</xdr:colOff>
                    <xdr:row>11</xdr:row>
                    <xdr:rowOff>165100</xdr:rowOff>
                  </from>
                  <to>
                    <xdr:col>4</xdr:col>
                    <xdr:colOff>279400</xdr:colOff>
                    <xdr:row>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Check Box 3">
              <controlPr locked="0" defaultSize="0" autoFill="0" autoLine="0" autoPict="0">
                <anchor moveWithCells="1">
                  <from>
                    <xdr:col>3</xdr:col>
                    <xdr:colOff>317500</xdr:colOff>
                    <xdr:row>13</xdr:row>
                    <xdr:rowOff>165100</xdr:rowOff>
                  </from>
                  <to>
                    <xdr:col>4</xdr:col>
                    <xdr:colOff>254000</xdr:colOff>
                    <xdr:row>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Check Box 4">
              <controlPr locked="0" defaultSize="0" autoFill="0" autoLine="0" autoPict="0">
                <anchor moveWithCells="1">
                  <from>
                    <xdr:col>3</xdr:col>
                    <xdr:colOff>317500</xdr:colOff>
                    <xdr:row>13</xdr:row>
                    <xdr:rowOff>177800</xdr:rowOff>
                  </from>
                  <to>
                    <xdr:col>4</xdr:col>
                    <xdr:colOff>279400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Check Box 5">
              <controlPr locked="0" defaultSize="0" autoFill="0" autoLine="0" autoPict="0">
                <anchor moveWithCells="1">
                  <from>
                    <xdr:col>3</xdr:col>
                    <xdr:colOff>330200</xdr:colOff>
                    <xdr:row>15</xdr:row>
                    <xdr:rowOff>228600</xdr:rowOff>
                  </from>
                  <to>
                    <xdr:col>4</xdr:col>
                    <xdr:colOff>292100</xdr:colOff>
                    <xdr:row>17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Check Box 6">
              <controlPr locked="0" defaultSize="0" autoFill="0" autoLine="0" autoPict="0">
                <anchor moveWithCells="1">
                  <from>
                    <xdr:col>3</xdr:col>
                    <xdr:colOff>317500</xdr:colOff>
                    <xdr:row>17</xdr:row>
                    <xdr:rowOff>0</xdr:rowOff>
                  </from>
                  <to>
                    <xdr:col>4</xdr:col>
                    <xdr:colOff>203200</xdr:colOff>
                    <xdr:row>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9" name="Check Box 7">
              <controlPr locked="0" defaultSize="0" autoFill="0" autoLine="0" autoPict="0">
                <anchor moveWithCells="1">
                  <from>
                    <xdr:col>3</xdr:col>
                    <xdr:colOff>317500</xdr:colOff>
                    <xdr:row>18</xdr:row>
                    <xdr:rowOff>0</xdr:rowOff>
                  </from>
                  <to>
                    <xdr:col>4</xdr:col>
                    <xdr:colOff>254000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0" name="Check Box 8">
              <controlPr locked="0" defaultSize="0" autoFill="0" autoLine="0" autoPict="0">
                <anchor moveWithCells="1">
                  <from>
                    <xdr:col>3</xdr:col>
                    <xdr:colOff>317500</xdr:colOff>
                    <xdr:row>18</xdr:row>
                    <xdr:rowOff>203200</xdr:rowOff>
                  </from>
                  <to>
                    <xdr:col>4</xdr:col>
                    <xdr:colOff>254000</xdr:colOff>
                    <xdr:row>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1" name="Check Box 9">
              <controlPr locked="0" defaultSize="0" autoFill="0" autoLine="0" autoPict="0">
                <anchor moveWithCells="1">
                  <from>
                    <xdr:col>3</xdr:col>
                    <xdr:colOff>330200</xdr:colOff>
                    <xdr:row>19</xdr:row>
                    <xdr:rowOff>177800</xdr:rowOff>
                  </from>
                  <to>
                    <xdr:col>4</xdr:col>
                    <xdr:colOff>254000</xdr:colOff>
                    <xdr:row>21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2" name="Check Box 10">
              <controlPr locked="0" defaultSize="0" autoFill="0" autoLine="0" autoPict="0">
                <anchor moveWithCells="1">
                  <from>
                    <xdr:col>3</xdr:col>
                    <xdr:colOff>317500</xdr:colOff>
                    <xdr:row>24</xdr:row>
                    <xdr:rowOff>38100</xdr:rowOff>
                  </from>
                  <to>
                    <xdr:col>4</xdr:col>
                    <xdr:colOff>203200</xdr:colOff>
                    <xdr:row>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3" name="Check Box 11">
              <controlPr locked="0" defaultSize="0" autoFill="0" autoLine="0" autoPict="0">
                <anchor moveWithCells="1">
                  <from>
                    <xdr:col>3</xdr:col>
                    <xdr:colOff>304800</xdr:colOff>
                    <xdr:row>21</xdr:row>
                    <xdr:rowOff>190500</xdr:rowOff>
                  </from>
                  <to>
                    <xdr:col>4</xdr:col>
                    <xdr:colOff>203200</xdr:colOff>
                    <xdr:row>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4" name="Check Box 12">
              <controlPr locked="0" defaultSize="0" autoFill="0" autoLine="0" autoPict="0">
                <anchor moveWithCells="1">
                  <from>
                    <xdr:col>3</xdr:col>
                    <xdr:colOff>317500</xdr:colOff>
                    <xdr:row>12</xdr:row>
                    <xdr:rowOff>190500</xdr:rowOff>
                  </from>
                  <to>
                    <xdr:col>4</xdr:col>
                    <xdr:colOff>279400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5" name="Check Box 13">
              <controlPr locked="0" defaultSize="0" autoFill="0" autoLine="0" autoPict="0">
                <anchor moveWithCells="1">
                  <from>
                    <xdr:col>3</xdr:col>
                    <xdr:colOff>342900</xdr:colOff>
                    <xdr:row>8</xdr:row>
                    <xdr:rowOff>114300</xdr:rowOff>
                  </from>
                  <to>
                    <xdr:col>4</xdr:col>
                    <xdr:colOff>203200</xdr:colOff>
                    <xdr:row>10</xdr:row>
                    <xdr:rowOff>101600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SCP Basic</vt:lpstr>
      <vt:lpstr>SCP+Labor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FOWLER</dc:creator>
  <cp:lastModifiedBy>Joe Quick</cp:lastModifiedBy>
  <dcterms:created xsi:type="dcterms:W3CDTF">2020-09-11T02:55:39Z</dcterms:created>
  <dcterms:modified xsi:type="dcterms:W3CDTF">2026-02-17T02:15:20Z</dcterms:modified>
</cp:coreProperties>
</file>